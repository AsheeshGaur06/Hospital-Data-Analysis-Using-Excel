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sheesh gaur\Downloads\"/>
    </mc:Choice>
  </mc:AlternateContent>
  <xr:revisionPtr revIDLastSave="0" documentId="13_ncr:1_{B2966D00-9415-44C1-ABA6-88108FF4880F}" xr6:coauthVersionLast="47" xr6:coauthVersionMax="47" xr10:uidLastSave="{00000000-0000-0000-0000-000000000000}"/>
  <bookViews>
    <workbookView xWindow="-108" yWindow="-108" windowWidth="23256" windowHeight="13176" activeTab="3" xr2:uid="{40B10CBE-48FA-4327-A8E3-AECF3D90C144}"/>
  </bookViews>
  <sheets>
    <sheet name="Pivot Report" sheetId="1" r:id="rId1"/>
    <sheet name="Dashboard" sheetId="3" r:id="rId2"/>
    <sheet name="Satisfaction score " sheetId="6" r:id="rId3"/>
    <sheet name="Average Waittime" sheetId="5" r:id="rId4"/>
    <sheet name="Daily ER No of patient" sheetId="4"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043c504-8d51-46ce-9938-b065431b95ee" name="Hospital Emergency Room Data" connection="Query - Hospital Emergency Room Data"/>
          <x15:modelTable id="Calender_Table_ba976171-aa98-42d0-831a-ccdd4f5811cc"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50" i="1" l="1"/>
  <c r="B50" i="1"/>
  <c r="C50" i="1"/>
  <c r="B51" i="1"/>
  <c r="C51" i="1"/>
  <c r="A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60FCC8-0E58-4C03-868E-F7A839C28A4F}" name="Query - Calender_Table" description="Connection to the 'Calender_Table' query in the workbook." type="100" refreshedVersion="8" minRefreshableVersion="5">
    <extLst>
      <ext xmlns:x15="http://schemas.microsoft.com/office/spreadsheetml/2010/11/main" uri="{DE250136-89BD-433C-8126-D09CA5730AF9}">
        <x15:connection id="fe263811-cab0-46db-8b8c-176303a33157"/>
      </ext>
    </extLst>
  </connection>
  <connection id="2" xr16:uid="{3E73588D-14C2-44CE-AB4B-FF05FC03189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59cd983a-194a-42f5-bb86-1974af2e81bf"/>
      </ext>
    </extLst>
  </connection>
  <connection id="3" xr16:uid="{4AF27111-73ED-4CF4-A4BB-66B51EE98BE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<sst xmlns="http://schemas.openxmlformats.org/spreadsheetml/2006/main" count="154" uniqueCount="75">
  <si>
    <t>Distinct Count of Patient Id</t>
  </si>
  <si>
    <t>No of Patient</t>
  </si>
  <si>
    <t>Average of Patient Waittime</t>
  </si>
  <si>
    <t>Average of Patient Satisfaction Score</t>
  </si>
  <si>
    <t>Grand Total</t>
  </si>
  <si>
    <t>Row Labels</t>
  </si>
  <si>
    <t>Daily Trends of no of patient</t>
  </si>
  <si>
    <t>Average Waittime</t>
  </si>
  <si>
    <t>Satisfaction Score</t>
  </si>
  <si>
    <t>Count of Patient Attend Status</t>
  </si>
  <si>
    <t>Count of Patient Admission Flag</t>
  </si>
  <si>
    <t>Admitted</t>
  </si>
  <si>
    <t>Not Admitted</t>
  </si>
  <si>
    <t>Count of Patient Admission Flag2</t>
  </si>
  <si>
    <t>Admission Status</t>
  </si>
  <si>
    <t>0-09</t>
  </si>
  <si>
    <t>10-19</t>
  </si>
  <si>
    <t>20-29</t>
  </si>
  <si>
    <t>30-39</t>
  </si>
  <si>
    <t>50-59</t>
  </si>
  <si>
    <t>60-69</t>
  </si>
  <si>
    <t>40-49</t>
  </si>
  <si>
    <t>70-79</t>
  </si>
  <si>
    <t>Count of Age Group</t>
  </si>
  <si>
    <t>Delay</t>
  </si>
  <si>
    <t>Ontime</t>
  </si>
  <si>
    <t xml:space="preserve">       No. Of Patient</t>
  </si>
  <si>
    <t xml:space="preserve">          % Status</t>
  </si>
  <si>
    <t>Attendance Status</t>
  </si>
  <si>
    <t>Female</t>
  </si>
  <si>
    <t>Male</t>
  </si>
  <si>
    <t>Count of Patient Gender</t>
  </si>
  <si>
    <t>Gender</t>
  </si>
  <si>
    <t>Cardiology</t>
  </si>
  <si>
    <t>Gastroenterology</t>
  </si>
  <si>
    <t>General Practice</t>
  </si>
  <si>
    <t>Neurology</t>
  </si>
  <si>
    <t>None</t>
  </si>
  <si>
    <t>Orthopedics</t>
  </si>
  <si>
    <t>Physiotherapy</t>
  </si>
  <si>
    <t>Renal</t>
  </si>
  <si>
    <t>Count of Department Referral</t>
  </si>
  <si>
    <t>2023</t>
  </si>
  <si>
    <t>2024</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</si>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</sst>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sz val="11"/>
      <color theme="0"/>
      <name val="Aptos Narrow"/>
      <family val="2"/>
      <scheme val="minor"/>
    </font>
    <font>
      <sz val="11"/>
      <color theme="1"/>
      <name val="Aptos Narrow"/>
      <family val="2"/>
      <scheme val="minor"/>
    </font>
    <font>
      <sz val="11"/>
      <color theme="0" tint="-4.9989318521683403E-2"/>
      <name val="Aptos Narrow"/>
      <family val="2"/>
      <scheme val="minor"/>
    </font>
    <font>
      <sz val="11"/>
      <color theme="4" tint="-0.499984740745262"/>
      <name val="Aptos Narrow"/>
      <family val="2"/>
      <scheme val="minor"/>
    </font>
    <font>
      <sz val="11"/>
      <color theme="1" tint="4.9989318521683403E-2"/>
      <name val="Aptos Narrow"/>
      <family val="2"/>
      <scheme val="minor"/>
    </font>
    <font>
      <sz val="11"/>
      <color theme="3" tint="0.89999084444715716"/>
      <name val="Aptos Narrow"/>
      <family val="2"/>
      <scheme val="minor"/>
    </font>
  </fonts>
  <fills count="6">
    <fill>
      <patternFill patternType="none"/>
    </fill>
    <fill>
      <patternFill patternType="gray125"/>
    </fill>
    <fill>
      <patternFill patternType="solid">
        <fgColor theme="1" tint="0.249977111117893"/>
        <bgColor indexed="64"/>
      </patternFill>
    </fill>
    <fill>
      <patternFill patternType="solid">
        <fgColor theme="2" tint="-0.499984740745262"/>
        <bgColor indexed="64"/>
      </patternFill>
    </fill>
    <fill>
      <patternFill patternType="solid">
        <fgColor theme="0" tint="-4.9989318521683403E-2"/>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0" fontId="0" fillId="0" borderId="0" xfId="0" applyNumberFormat="1"/>
    <xf numFmtId="2" fontId="0" fillId="0" borderId="0" xfId="0" applyNumberFormat="1"/>
    <xf numFmtId="0" fontId="0" fillId="2" borderId="0" xfId="0" applyFill="1"/>
    <xf numFmtId="0" fontId="1" fillId="2" borderId="0" xfId="0" applyFont="1" applyFill="1"/>
    <xf numFmtId="0" fontId="0" fillId="0" borderId="0" xfId="0" pivotButton="1"/>
    <xf numFmtId="0" fontId="0" fillId="0" borderId="0" xfId="0" applyAlignment="1">
      <alignment horizontal="left"/>
    </xf>
    <xf numFmtId="0" fontId="0" fillId="3" borderId="0" xfId="0" applyFill="1"/>
    <xf numFmtId="0" fontId="0" fillId="4" borderId="0" xfId="0" applyFill="1"/>
    <xf numFmtId="1" fontId="0" fillId="0" borderId="0" xfId="0" applyNumberFormat="1"/>
    <xf numFmtId="10" fontId="0" fillId="0" borderId="0" xfId="0" applyNumberFormat="1"/>
    <xf numFmtId="0" fontId="3" fillId="5" borderId="0" xfId="0" applyFont="1" applyFill="1"/>
    <xf numFmtId="9" fontId="0" fillId="3" borderId="0" xfId="1" applyFont="1" applyFill="1"/>
    <xf numFmtId="0" fontId="4" fillId="5" borderId="0" xfId="0" applyFont="1" applyFill="1"/>
    <xf numFmtId="0" fontId="4" fillId="5" borderId="0" xfId="0" applyFont="1" applyFill="1" applyAlignment="1">
      <alignment horizontal="left"/>
    </xf>
    <xf numFmtId="0" fontId="5" fillId="3" borderId="0" xfId="0" applyFont="1" applyFill="1"/>
    <xf numFmtId="0" fontId="6" fillId="4" borderId="0" xfId="0" applyFont="1" applyFill="1"/>
  </cellXfs>
  <cellStyles count="2">
    <cellStyle name="Normal" xfId="0" builtinId="0"/>
    <cellStyle name="Percent" xfId="1" builtinId="5"/>
  </cellStyles>
  <dxfs count="24">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2" formatCode="0.00"/>
    </dxf>
    <dxf>
      <numFmt numFmtId="2" formatCode="0.00"/>
    </dxf>
    <dxf>
      <font>
        <b/>
        <color theme="1"/>
      </font>
      <border>
        <bottom style="thin">
          <color theme="4"/>
        </bottom>
        <vertical/>
        <horizontal/>
      </border>
    </dxf>
    <dxf>
      <font>
        <color theme="1"/>
      </font>
      <fill>
        <patternFill>
          <bgColor theme="2" tint="-0.499984740745262"/>
        </patternFill>
      </fill>
      <border diagonalUp="0" diagonalDown="0">
        <left/>
        <right/>
        <top/>
        <bottom/>
        <vertical/>
        <horizontal/>
      </border>
    </dxf>
    <dxf>
      <fill>
        <patternFill>
          <bgColor theme="1" tint="0.24994659260841701"/>
        </patternFill>
      </fill>
      <border diagonalUp="0" diagonalDown="0">
        <left/>
        <right/>
        <top/>
        <bottom/>
        <vertical/>
        <horizontal/>
      </border>
    </dxf>
    <dxf>
      <fill>
        <patternFill>
          <bgColor theme="2" tint="-0.499984740745262"/>
        </patternFill>
      </fill>
    </dxf>
    <dxf>
      <fill>
        <patternFill>
          <bgColor theme="0" tint="-0.34998626667073579"/>
        </patternFill>
      </fill>
      <border diagonalUp="0" diagonalDown="0">
        <left/>
        <right/>
        <top/>
        <bottom/>
        <vertical/>
        <horizontal/>
      </border>
    </dxf>
    <dxf>
      <fill>
        <patternFill>
          <bgColor theme="2" tint="-0.24994659260841701"/>
        </patternFill>
      </fill>
    </dxf>
    <dxf>
      <font>
        <b/>
        <color theme="1"/>
      </font>
      <border>
        <bottom style="thin">
          <color theme="4"/>
        </bottom>
        <vertical/>
        <horizontal/>
      </border>
    </dxf>
    <dxf>
      <font>
        <sz val="8"/>
        <color theme="1"/>
      </font>
      <fill>
        <patternFill>
          <bgColor theme="0" tint="-4.9989318521683403E-2"/>
        </patternFill>
      </fill>
      <border diagonalUp="0" diagonalDown="0">
        <left/>
        <right/>
        <top/>
        <bottom/>
        <vertical/>
        <horizontal/>
      </border>
    </dxf>
  </dxfs>
  <tableStyles count="6" defaultTableStyle="TableStyleMedium2" defaultPivotStyle="PivotStyleLight16">
    <tableStyle name="My Style" pivot="0" table="0" count="10" xr9:uid="{A8F73B8C-0FF1-4A40-B2CB-11516AD70738}">
      <tableStyleElement type="wholeTable" dxfId="23"/>
      <tableStyleElement type="headerRow" dxfId="22"/>
    </tableStyle>
    <tableStyle name="Slicer Style 1" pivot="0" table="0" count="1" xr9:uid="{28EFCD92-6C7E-448F-BF18-96E780E3E7D9}">
      <tableStyleElement type="wholeTable" dxfId="21"/>
    </tableStyle>
    <tableStyle name="Slicer Style 2" pivot="0" table="0" count="1" xr9:uid="{7454DC4F-56C6-4855-A938-EFD8C2CE890B}">
      <tableStyleElement type="wholeTable" dxfId="20"/>
    </tableStyle>
    <tableStyle name="Slicer Style 3" pivot="0" table="0" count="1" xr9:uid="{09103B0E-E6C5-4F9D-886B-752AFF634BA6}">
      <tableStyleElement type="wholeTable" dxfId="19"/>
    </tableStyle>
    <tableStyle name="Slicer Style 4" pivot="0" table="0" count="1" xr9:uid="{4710A5D7-74B9-485B-BB5F-DEDF25EC782A}">
      <tableStyleElement type="wholeTable" dxfId="18"/>
    </tableStyle>
    <tableStyle name="SlicerStyleDark1 2" pivot="0" table="0" count="10" xr9:uid="{EBD53F0C-7DF5-4C20-97AB-7A17AABE21F4}">
      <tableStyleElement type="wholeTable" dxfId="17"/>
      <tableStyleElement type="headerRow" dxfId="16"/>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 name="Slicer Style 2"/>
        <x14:slicerStyle name="Slicer Style 3"/>
        <x14:slicerStyle name="Slicer Style 4"/>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using Excel.xlsx]Pivot Report!PivotTable6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no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layout>
            <c:manualLayout>
              <c:x val="5.7944135659513001E-2"/>
              <c:y val="2.1367521367521368E-2"/>
            </c:manualLayout>
          </c:layout>
          <c:tx>
            <c:rich>
              <a:bodyPr rot="0" spcFirstLastPara="1" vertOverflow="ellipsis" vert="horz" wrap="none" lIns="38100" tIns="19050" rIns="38100" bIns="19050" anchor="ctr" anchorCtr="1">
                <a:noAutofit/>
              </a:bodyPr>
              <a:lstStyle/>
              <a:p>
                <a:pPr>
                  <a:defRPr sz="600" b="0" i="0" u="none" strike="noStrike" kern="1200" baseline="0">
                    <a:solidFill>
                      <a:schemeClr val="bg2">
                        <a:lumMod val="10000"/>
                      </a:schemeClr>
                    </a:solidFill>
                    <a:latin typeface="+mn-lt"/>
                    <a:ea typeface="+mn-ea"/>
                    <a:cs typeface="+mn-cs"/>
                  </a:defRPr>
                </a:pPr>
                <a:fld id="{51582D69-0D0E-4643-9956-EC691C1A6DB5}" type="CELLRANGE">
                  <a:rPr lang="en-US" sz="600">
                    <a:solidFill>
                      <a:schemeClr val="bg2">
                        <a:lumMod val="10000"/>
                      </a:schemeClr>
                    </a:solidFill>
                  </a:rPr>
                  <a:pPr>
                    <a:defRPr sz="600" b="0" i="0" u="none" strike="noStrike" kern="1200" baseline="0">
                      <a:solidFill>
                        <a:schemeClr val="bg2">
                          <a:lumMod val="10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noFill/>
          </a:ln>
          <a:effectLst/>
        </c:spPr>
        <c:dLbl>
          <c:idx val="0"/>
          <c:layout>
            <c:manualLayout>
              <c:x val="-9.3902784210797181E-3"/>
              <c:y val="-2.1367521367521368E-2"/>
            </c:manualLayout>
          </c:layou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4"/>
        <c:dLbl>
          <c:idx val="0"/>
          <c:layout>
            <c:manualLayout>
              <c:x val="5.7944135659513001E-2"/>
              <c:y val="2.1367521367521368E-2"/>
            </c:manualLayout>
          </c:layout>
          <c:tx>
            <c:rich>
              <a:bodyPr rot="0" spcFirstLastPara="1" vertOverflow="ellipsis" vert="horz" wrap="none" lIns="38100" tIns="19050" rIns="38100" bIns="19050" anchor="ctr" anchorCtr="1">
                <a:noAutofit/>
              </a:bodyPr>
              <a:lstStyle/>
              <a:p>
                <a:pPr>
                  <a:defRPr sz="600" b="0" i="0" u="none" strike="noStrike" kern="1200" baseline="0">
                    <a:solidFill>
                      <a:schemeClr val="tx1">
                        <a:lumMod val="95000"/>
                        <a:lumOff val="5000"/>
                      </a:schemeClr>
                    </a:solidFill>
                    <a:latin typeface="+mn-lt"/>
                    <a:ea typeface="+mn-ea"/>
                    <a:cs typeface="+mn-cs"/>
                  </a:defRPr>
                </a:pPr>
                <a:fld id="{F7FE1A2C-1C25-45AD-B679-8FF084F83581}" type="CELLRANGE">
                  <a:rPr lang="en-US">
                    <a:solidFill>
                      <a:schemeClr val="tx1">
                        <a:lumMod val="95000"/>
                        <a:lumOff val="5000"/>
                      </a:schemeClr>
                    </a:solidFill>
                  </a:rPr>
                  <a:pPr>
                    <a:defRPr sz="600" b="0" i="0" u="none" strike="noStrike" kern="1200" baseline="0">
                      <a:solidFill>
                        <a:schemeClr val="tx1">
                          <a:lumMod val="95000"/>
                          <a:lumOff val="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5"/>
        <c:dLbl>
          <c:idx val="0"/>
          <c:layout>
            <c:manualLayout>
              <c:x val="-9.3902784210797181E-3"/>
              <c:y val="-2.1367521367521368E-2"/>
            </c:manualLayout>
          </c:layout>
          <c:tx>
            <c:rich>
              <a:bodyPr rot="0" spcFirstLastPara="1" vertOverflow="ellipsis" vert="horz" wrap="none" lIns="38100" tIns="19050" rIns="38100" bIns="19050" anchor="ctr" anchorCtr="1">
                <a:spAutoFit/>
              </a:bodyPr>
              <a:lstStyle/>
              <a:p>
                <a:pPr>
                  <a:defRPr sz="600" b="0" i="0" u="none" strike="noStrike" kern="1200" baseline="0">
                    <a:solidFill>
                      <a:schemeClr val="tx1">
                        <a:lumMod val="95000"/>
                        <a:lumOff val="5000"/>
                      </a:schemeClr>
                    </a:solidFill>
                    <a:latin typeface="+mn-lt"/>
                    <a:ea typeface="+mn-ea"/>
                    <a:cs typeface="+mn-cs"/>
                  </a:defRPr>
                </a:pPr>
                <a:fld id="{7AFABA4B-51E6-464F-AEC5-EB952B506B80}" type="CELLRANGE">
                  <a:rPr lang="en-US">
                    <a:solidFill>
                      <a:schemeClr val="tx1">
                        <a:lumMod val="95000"/>
                        <a:lumOff val="5000"/>
                      </a:schemeClr>
                    </a:solidFill>
                  </a:rPr>
                  <a:pPr>
                    <a:defRPr sz="600" b="0" i="0" u="none" strike="noStrike" kern="1200" baseline="0">
                      <a:solidFill>
                        <a:schemeClr val="tx1">
                          <a:lumMod val="95000"/>
                          <a:lumOff val="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7"/>
        <c:spPr>
          <a:no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084967320261438E-2"/>
          <c:y val="0.23504273504273504"/>
          <c:w val="0.8856209150326797"/>
          <c:h val="0.52991452991452992"/>
        </c:manualLayout>
      </c:layout>
      <c:barChart>
        <c:barDir val="bar"/>
        <c:grouping val="clustered"/>
        <c:varyColors val="0"/>
        <c:ser>
          <c:idx val="0"/>
          <c:order val="0"/>
          <c:tx>
            <c:strRef>
              <c:f>'Pivot Report'!$C$44:$C$45</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5CEF-4A3D-8B6D-66FB1C36D12D}"/>
              </c:ext>
            </c:extLst>
          </c:dPt>
          <c:dPt>
            <c:idx val="1"/>
            <c:invertIfNegative val="0"/>
            <c:bubble3D val="0"/>
            <c:extLst>
              <c:ext xmlns:c16="http://schemas.microsoft.com/office/drawing/2014/chart" uri="{C3380CC4-5D6E-409C-BE32-E72D297353CC}">
                <c16:uniqueId val="{00000004-5CEF-4A3D-8B6D-66FB1C36D12D}"/>
              </c:ext>
            </c:extLst>
          </c:dPt>
          <c:dLbls>
            <c:dLbl>
              <c:idx val="0"/>
              <c:layout>
                <c:manualLayout>
                  <c:x val="5.7944135659513001E-2"/>
                  <c:y val="2.1367521367521368E-2"/>
                </c:manualLayout>
              </c:layout>
              <c:tx>
                <c:rich>
                  <a:bodyPr rot="0" spcFirstLastPara="1" vertOverflow="ellipsis" vert="horz" wrap="none" lIns="38100" tIns="19050" rIns="38100" bIns="19050" anchor="ctr" anchorCtr="1">
                    <a:noAutofit/>
                  </a:bodyPr>
                  <a:lstStyle/>
                  <a:p>
                    <a:pPr>
                      <a:defRPr sz="600" b="0" i="0" u="none" strike="noStrike" kern="1200" baseline="0">
                        <a:solidFill>
                          <a:schemeClr val="tx1">
                            <a:lumMod val="95000"/>
                            <a:lumOff val="5000"/>
                          </a:schemeClr>
                        </a:solidFill>
                        <a:latin typeface="+mn-lt"/>
                        <a:ea typeface="+mn-ea"/>
                        <a:cs typeface="+mn-cs"/>
                      </a:defRPr>
                    </a:pPr>
                    <a:fld id="{F7FE1A2C-1C25-45AD-B679-8FF084F83581}" type="CELLRANGE">
                      <a:rPr lang="en-US">
                        <a:solidFill>
                          <a:schemeClr val="tx1">
                            <a:lumMod val="95000"/>
                            <a:lumOff val="5000"/>
                          </a:schemeClr>
                        </a:solidFill>
                      </a:rPr>
                      <a:pPr>
                        <a:defRPr sz="600" b="0" i="0" u="none" strike="noStrike" kern="1200" baseline="0">
                          <a:solidFill>
                            <a:schemeClr val="tx1">
                              <a:lumMod val="95000"/>
                              <a:lumOff val="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3-5CEF-4A3D-8B6D-66FB1C36D12D}"/>
                </c:ext>
              </c:extLst>
            </c:dLbl>
            <c:dLbl>
              <c:idx val="1"/>
              <c:layout>
                <c:manualLayout>
                  <c:x val="-9.3902784210797181E-3"/>
                  <c:y val="-2.1367521367521368E-2"/>
                </c:manualLayout>
              </c:layout>
              <c:tx>
                <c:rich>
                  <a:bodyPr/>
                  <a:lstStyle/>
                  <a:p>
                    <a:fld id="{7AFABA4B-51E6-464F-AEC5-EB952B506B80}" type="CELLRANGE">
                      <a:rPr lang="en-US">
                        <a:solidFill>
                          <a:schemeClr val="tx1">
                            <a:lumMod val="95000"/>
                            <a:lumOff val="5000"/>
                          </a:schemeClr>
                        </a:solidFill>
                      </a:rPr>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CEF-4A3D-8B6D-66FB1C36D12D}"/>
                </c:ext>
              </c:extLst>
            </c:dLbl>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Report'!$C$44:$C$45</c:f>
              <c:strCache>
                <c:ptCount val="2"/>
                <c:pt idx="0">
                  <c:v>Admitted</c:v>
                </c:pt>
                <c:pt idx="1">
                  <c:v>Not Admitted</c:v>
                </c:pt>
              </c:strCache>
            </c:strRef>
          </c:cat>
          <c:val>
            <c:numRef>
              <c:f>'Pivot Report'!$C$44:$C$45</c:f>
              <c:numCache>
                <c:formatCode>0</c:formatCode>
                <c:ptCount val="2"/>
                <c:pt idx="0">
                  <c:v>250</c:v>
                </c:pt>
                <c:pt idx="1">
                  <c:v>239</c:v>
                </c:pt>
              </c:numCache>
            </c:numRef>
          </c:val>
          <c:extLst>
            <c:ext xmlns:c15="http://schemas.microsoft.com/office/drawing/2012/chart" uri="{02D57815-91ED-43cb-92C2-25804820EDAC}">
              <c15:datalabelsRange>
                <c15:f>'Pivot Report'!$C$44:$C$45</c15:f>
                <c15:dlblRangeCache>
                  <c:ptCount val="2"/>
                  <c:pt idx="0">
                    <c:v>51.12%</c:v>
                  </c:pt>
                  <c:pt idx="1">
                    <c:v>48.88%</c:v>
                  </c:pt>
                </c15:dlblRangeCache>
              </c15:datalabelsRange>
            </c:ext>
            <c:ext xmlns:c16="http://schemas.microsoft.com/office/drawing/2014/chart" uri="{C3380CC4-5D6E-409C-BE32-E72D297353CC}">
              <c16:uniqueId val="{00000000-5CEF-4A3D-8B6D-66FB1C36D12D}"/>
            </c:ext>
          </c:extLst>
        </c:ser>
        <c:ser>
          <c:idx val="1"/>
          <c:order val="1"/>
          <c:tx>
            <c:strRef>
              <c:f>'Pivot Report'!$C$44:$C$45</c:f>
              <c:strCache>
                <c:ptCount val="1"/>
                <c:pt idx="0">
                  <c:v>Count of Patient Admission Flag2</c:v>
                </c:pt>
              </c:strCache>
            </c:strRef>
          </c:tx>
          <c:spPr>
            <a:noFill/>
            <a:ln>
              <a:noFill/>
            </a:ln>
            <a:effectLst/>
          </c:spPr>
          <c:invertIfNegative val="0"/>
          <c:cat>
            <c:strRef>
              <c:f>'Pivot Report'!$C$44:$C$45</c:f>
              <c:strCache>
                <c:ptCount val="2"/>
                <c:pt idx="0">
                  <c:v>Admitted</c:v>
                </c:pt>
                <c:pt idx="1">
                  <c:v>Not Admitted</c:v>
                </c:pt>
              </c:strCache>
            </c:strRef>
          </c:cat>
          <c:val>
            <c:numRef>
              <c:f>'Pivot Report'!$C$44:$C$45</c:f>
              <c:numCache>
                <c:formatCode>0.00%</c:formatCode>
                <c:ptCount val="2"/>
                <c:pt idx="0">
                  <c:v>0.5112474437627812</c:v>
                </c:pt>
                <c:pt idx="1">
                  <c:v>0.4887525562372188</c:v>
                </c:pt>
              </c:numCache>
            </c:numRef>
          </c:val>
          <c:extLst>
            <c:ext xmlns:c16="http://schemas.microsoft.com/office/drawing/2014/chart" uri="{C3380CC4-5D6E-409C-BE32-E72D297353CC}">
              <c16:uniqueId val="{00000001-5CEF-4A3D-8B6D-66FB1C36D12D}"/>
            </c:ext>
          </c:extLst>
        </c:ser>
        <c:dLbls>
          <c:showLegendKey val="0"/>
          <c:showVal val="0"/>
          <c:showCatName val="0"/>
          <c:showSerName val="0"/>
          <c:showPercent val="0"/>
          <c:showBubbleSize val="0"/>
        </c:dLbls>
        <c:gapWidth val="0"/>
        <c:axId val="2132440832"/>
        <c:axId val="2132421632"/>
      </c:barChart>
      <c:catAx>
        <c:axId val="2132440832"/>
        <c:scaling>
          <c:orientation val="minMax"/>
        </c:scaling>
        <c:delete val="1"/>
        <c:axPos val="l"/>
        <c:numFmt formatCode="General" sourceLinked="1"/>
        <c:majorTickMark val="none"/>
        <c:minorTickMark val="none"/>
        <c:tickLblPos val="nextTo"/>
        <c:crossAx val="2132421632"/>
        <c:crosses val="autoZero"/>
        <c:auto val="1"/>
        <c:lblAlgn val="ctr"/>
        <c:lblOffset val="100"/>
        <c:noMultiLvlLbl val="0"/>
      </c:catAx>
      <c:valAx>
        <c:axId val="2132421632"/>
        <c:scaling>
          <c:orientation val="minMax"/>
        </c:scaling>
        <c:delete val="1"/>
        <c:axPos val="b"/>
        <c:numFmt formatCode="0" sourceLinked="1"/>
        <c:majorTickMark val="none"/>
        <c:minorTickMark val="none"/>
        <c:tickLblPos val="nextTo"/>
        <c:crossAx val="2132440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using Excel.xlsx]Pivot Report!PivotTable7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Report'!$D$8</c:f>
              <c:strCache>
                <c:ptCount val="1"/>
                <c:pt idx="0">
                  <c:v>Total</c:v>
                </c:pt>
              </c:strCache>
            </c:strRef>
          </c:tx>
          <c:spPr>
            <a:solidFill>
              <a:schemeClr val="accent1"/>
            </a:solidFill>
            <a:ln>
              <a:noFill/>
            </a:ln>
            <a:effectLst/>
          </c:spPr>
          <c:cat>
            <c:strRef>
              <c:f>'Pivot Report'!$C$9:$C$40</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Report'!$D$9:$D$40</c:f>
              <c:numCache>
                <c:formatCode>General</c:formatCode>
                <c:ptCount val="31"/>
                <c:pt idx="0">
                  <c:v>16</c:v>
                </c:pt>
                <c:pt idx="1">
                  <c:v>15</c:v>
                </c:pt>
                <c:pt idx="2">
                  <c:v>14</c:v>
                </c:pt>
                <c:pt idx="3">
                  <c:v>12</c:v>
                </c:pt>
                <c:pt idx="4">
                  <c:v>16</c:v>
                </c:pt>
                <c:pt idx="5">
                  <c:v>11</c:v>
                </c:pt>
                <c:pt idx="6">
                  <c:v>7</c:v>
                </c:pt>
                <c:pt idx="7">
                  <c:v>16</c:v>
                </c:pt>
                <c:pt idx="8">
                  <c:v>7</c:v>
                </c:pt>
                <c:pt idx="9">
                  <c:v>16</c:v>
                </c:pt>
                <c:pt idx="10">
                  <c:v>16</c:v>
                </c:pt>
                <c:pt idx="11">
                  <c:v>19</c:v>
                </c:pt>
                <c:pt idx="12">
                  <c:v>10</c:v>
                </c:pt>
                <c:pt idx="13">
                  <c:v>13</c:v>
                </c:pt>
                <c:pt idx="14">
                  <c:v>27</c:v>
                </c:pt>
                <c:pt idx="15">
                  <c:v>19</c:v>
                </c:pt>
                <c:pt idx="16">
                  <c:v>18</c:v>
                </c:pt>
                <c:pt idx="17">
                  <c:v>12</c:v>
                </c:pt>
                <c:pt idx="18">
                  <c:v>20</c:v>
                </c:pt>
                <c:pt idx="19">
                  <c:v>12</c:v>
                </c:pt>
                <c:pt idx="20">
                  <c:v>19</c:v>
                </c:pt>
                <c:pt idx="21">
                  <c:v>18</c:v>
                </c:pt>
                <c:pt idx="22">
                  <c:v>21</c:v>
                </c:pt>
                <c:pt idx="23">
                  <c:v>18</c:v>
                </c:pt>
                <c:pt idx="24">
                  <c:v>16</c:v>
                </c:pt>
                <c:pt idx="25">
                  <c:v>14</c:v>
                </c:pt>
                <c:pt idx="26">
                  <c:v>14</c:v>
                </c:pt>
                <c:pt idx="27">
                  <c:v>16</c:v>
                </c:pt>
                <c:pt idx="28">
                  <c:v>21</c:v>
                </c:pt>
                <c:pt idx="29">
                  <c:v>21</c:v>
                </c:pt>
                <c:pt idx="30">
                  <c:v>15</c:v>
                </c:pt>
              </c:numCache>
            </c:numRef>
          </c:val>
          <c:extLst>
            <c:ext xmlns:c16="http://schemas.microsoft.com/office/drawing/2014/chart" uri="{C3380CC4-5D6E-409C-BE32-E72D297353CC}">
              <c16:uniqueId val="{00000000-AAA9-424A-BCC5-373351156EDF}"/>
            </c:ext>
          </c:extLst>
        </c:ser>
        <c:dLbls>
          <c:showLegendKey val="0"/>
          <c:showVal val="0"/>
          <c:showCatName val="0"/>
          <c:showSerName val="0"/>
          <c:showPercent val="0"/>
          <c:showBubbleSize val="0"/>
        </c:dLbls>
        <c:axId val="2031399311"/>
        <c:axId val="2031399791"/>
      </c:areaChart>
      <c:catAx>
        <c:axId val="2031399311"/>
        <c:scaling>
          <c:orientation val="minMax"/>
        </c:scaling>
        <c:delete val="1"/>
        <c:axPos val="b"/>
        <c:numFmt formatCode="General" sourceLinked="1"/>
        <c:majorTickMark val="out"/>
        <c:minorTickMark val="none"/>
        <c:tickLblPos val="nextTo"/>
        <c:crossAx val="2031399791"/>
        <c:crosses val="autoZero"/>
        <c:auto val="1"/>
        <c:lblAlgn val="ctr"/>
        <c:lblOffset val="100"/>
        <c:noMultiLvlLbl val="0"/>
      </c:catAx>
      <c:valAx>
        <c:axId val="2031399791"/>
        <c:scaling>
          <c:orientation val="minMax"/>
        </c:scaling>
        <c:delete val="1"/>
        <c:axPos val="l"/>
        <c:numFmt formatCode="General" sourceLinked="1"/>
        <c:majorTickMark val="none"/>
        <c:minorTickMark val="none"/>
        <c:tickLblPos val="nextTo"/>
        <c:crossAx val="20313993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using Excel.xlsx]Pivot Report!PivotTable4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Report'!$K$8</c:f>
              <c:strCache>
                <c:ptCount val="1"/>
                <c:pt idx="0">
                  <c:v>Total</c:v>
                </c:pt>
              </c:strCache>
            </c:strRef>
          </c:tx>
          <c:spPr>
            <a:solidFill>
              <a:schemeClr val="accent1"/>
            </a:solidFill>
            <a:ln>
              <a:noFill/>
            </a:ln>
            <a:effectLst/>
          </c:spPr>
          <c:cat>
            <c:strRef>
              <c:f>'Pivot Report'!$J$9:$J$40</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Report'!$K$9:$K$40</c:f>
              <c:numCache>
                <c:formatCode>0.00</c:formatCode>
                <c:ptCount val="31"/>
                <c:pt idx="0">
                  <c:v>34.5</c:v>
                </c:pt>
                <c:pt idx="1">
                  <c:v>35.4</c:v>
                </c:pt>
                <c:pt idx="2">
                  <c:v>34.928571428571431</c:v>
                </c:pt>
                <c:pt idx="3">
                  <c:v>44.25</c:v>
                </c:pt>
                <c:pt idx="4">
                  <c:v>40.1875</c:v>
                </c:pt>
                <c:pt idx="5">
                  <c:v>35</c:v>
                </c:pt>
                <c:pt idx="6">
                  <c:v>43.142857142857146</c:v>
                </c:pt>
                <c:pt idx="7">
                  <c:v>43.6875</c:v>
                </c:pt>
                <c:pt idx="8">
                  <c:v>33.857142857142854</c:v>
                </c:pt>
                <c:pt idx="9">
                  <c:v>40.1875</c:v>
                </c:pt>
                <c:pt idx="10">
                  <c:v>34.9375</c:v>
                </c:pt>
                <c:pt idx="11">
                  <c:v>28.684210526315791</c:v>
                </c:pt>
                <c:pt idx="12">
                  <c:v>25</c:v>
                </c:pt>
                <c:pt idx="13">
                  <c:v>35.46153846153846</c:v>
                </c:pt>
                <c:pt idx="14">
                  <c:v>33.814814814814817</c:v>
                </c:pt>
                <c:pt idx="15">
                  <c:v>33.631578947368418</c:v>
                </c:pt>
                <c:pt idx="16">
                  <c:v>36.611111111111114</c:v>
                </c:pt>
                <c:pt idx="17">
                  <c:v>30.5</c:v>
                </c:pt>
                <c:pt idx="18">
                  <c:v>33.6</c:v>
                </c:pt>
                <c:pt idx="19">
                  <c:v>26.75</c:v>
                </c:pt>
                <c:pt idx="20">
                  <c:v>37.684210526315788</c:v>
                </c:pt>
                <c:pt idx="21">
                  <c:v>36.611111111111114</c:v>
                </c:pt>
                <c:pt idx="22">
                  <c:v>35.428571428571431</c:v>
                </c:pt>
                <c:pt idx="23">
                  <c:v>31.944444444444443</c:v>
                </c:pt>
                <c:pt idx="24">
                  <c:v>31.875</c:v>
                </c:pt>
                <c:pt idx="25">
                  <c:v>28.642857142857142</c:v>
                </c:pt>
                <c:pt idx="26">
                  <c:v>39.214285714285715</c:v>
                </c:pt>
                <c:pt idx="27">
                  <c:v>32.0625</c:v>
                </c:pt>
                <c:pt idx="28">
                  <c:v>28.285714285714285</c:v>
                </c:pt>
                <c:pt idx="29">
                  <c:v>35.476190476190474</c:v>
                </c:pt>
                <c:pt idx="30">
                  <c:v>39.799999999999997</c:v>
                </c:pt>
              </c:numCache>
            </c:numRef>
          </c:val>
          <c:extLst>
            <c:ext xmlns:c16="http://schemas.microsoft.com/office/drawing/2014/chart" uri="{C3380CC4-5D6E-409C-BE32-E72D297353CC}">
              <c16:uniqueId val="{00000000-C4CE-47CD-9012-C83F062B1B0D}"/>
            </c:ext>
          </c:extLst>
        </c:ser>
        <c:dLbls>
          <c:showLegendKey val="0"/>
          <c:showVal val="0"/>
          <c:showCatName val="0"/>
          <c:showSerName val="0"/>
          <c:showPercent val="0"/>
          <c:showBubbleSize val="0"/>
        </c:dLbls>
        <c:axId val="767535519"/>
        <c:axId val="767535999"/>
      </c:areaChart>
      <c:catAx>
        <c:axId val="767535519"/>
        <c:scaling>
          <c:orientation val="minMax"/>
        </c:scaling>
        <c:delete val="1"/>
        <c:axPos val="b"/>
        <c:numFmt formatCode="General" sourceLinked="1"/>
        <c:majorTickMark val="out"/>
        <c:minorTickMark val="none"/>
        <c:tickLblPos val="nextTo"/>
        <c:crossAx val="767535999"/>
        <c:crosses val="autoZero"/>
        <c:auto val="1"/>
        <c:lblAlgn val="ctr"/>
        <c:lblOffset val="100"/>
        <c:noMultiLvlLbl val="0"/>
      </c:catAx>
      <c:valAx>
        <c:axId val="767535999"/>
        <c:scaling>
          <c:orientation val="minMax"/>
        </c:scaling>
        <c:delete val="1"/>
        <c:axPos val="l"/>
        <c:numFmt formatCode="0.00" sourceLinked="1"/>
        <c:majorTickMark val="none"/>
        <c:minorTickMark val="none"/>
        <c:tickLblPos val="nextTo"/>
        <c:crossAx val="7675355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using Excel.xlsx]Pivot Report!PivotTable5</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365079365079361E-2"/>
          <c:y val="0.23809523809523808"/>
          <c:w val="0.86291486291486275"/>
          <c:h val="0.52380952380952384"/>
        </c:manualLayout>
      </c:layout>
      <c:areaChart>
        <c:grouping val="standard"/>
        <c:varyColors val="0"/>
        <c:ser>
          <c:idx val="0"/>
          <c:order val="0"/>
          <c:tx>
            <c:strRef>
              <c:f>'Pivot Report'!$P$8</c:f>
              <c:strCache>
                <c:ptCount val="1"/>
                <c:pt idx="0">
                  <c:v>Total</c:v>
                </c:pt>
              </c:strCache>
            </c:strRef>
          </c:tx>
          <c:spPr>
            <a:solidFill>
              <a:schemeClr val="accent1"/>
            </a:solidFill>
            <a:ln>
              <a:noFill/>
            </a:ln>
            <a:effectLst/>
          </c:spPr>
          <c:cat>
            <c:strRef>
              <c:f>'Pivot Report'!$O$9:$O$38</c:f>
              <c:strCache>
                <c:ptCount val="29"/>
                <c:pt idx="0">
                  <c:v>1-Dec</c:v>
                </c:pt>
                <c:pt idx="1">
                  <c:v>2-Dec</c:v>
                </c:pt>
                <c:pt idx="2">
                  <c:v>3-Dec</c:v>
                </c:pt>
                <c:pt idx="3">
                  <c:v>4-Dec</c:v>
                </c:pt>
                <c:pt idx="4">
                  <c:v>5-Dec</c:v>
                </c:pt>
                <c:pt idx="5">
                  <c:v>6-Dec</c:v>
                </c:pt>
                <c:pt idx="6">
                  <c:v>8-Dec</c:v>
                </c:pt>
                <c:pt idx="7">
                  <c:v>9-Dec</c:v>
                </c:pt>
                <c:pt idx="8">
                  <c:v>10-Dec</c:v>
                </c:pt>
                <c:pt idx="9">
                  <c:v>11-Dec</c:v>
                </c:pt>
                <c:pt idx="10">
                  <c:v>12-Dec</c:v>
                </c:pt>
                <c:pt idx="11">
                  <c:v>13-Dec</c:v>
                </c:pt>
                <c:pt idx="12">
                  <c:v>14-Dec</c:v>
                </c:pt>
                <c:pt idx="13">
                  <c:v>15-Dec</c:v>
                </c:pt>
                <c:pt idx="14">
                  <c:v>16-Dec</c:v>
                </c:pt>
                <c:pt idx="15">
                  <c:v>17-Dec</c:v>
                </c:pt>
                <c:pt idx="16">
                  <c:v>18-Dec</c:v>
                </c:pt>
                <c:pt idx="17">
                  <c:v>19-Dec</c:v>
                </c:pt>
                <c:pt idx="18">
                  <c:v>20-Dec</c:v>
                </c:pt>
                <c:pt idx="19">
                  <c:v>21-Dec</c:v>
                </c:pt>
                <c:pt idx="20">
                  <c:v>22-Dec</c:v>
                </c:pt>
                <c:pt idx="21">
                  <c:v>23-Dec</c:v>
                </c:pt>
                <c:pt idx="22">
                  <c:v>24-Dec</c:v>
                </c:pt>
                <c:pt idx="23">
                  <c:v>25-Dec</c:v>
                </c:pt>
                <c:pt idx="24">
                  <c:v>26-Dec</c:v>
                </c:pt>
                <c:pt idx="25">
                  <c:v>27-Dec</c:v>
                </c:pt>
                <c:pt idx="26">
                  <c:v>28-Dec</c:v>
                </c:pt>
                <c:pt idx="27">
                  <c:v>29-Dec</c:v>
                </c:pt>
                <c:pt idx="28">
                  <c:v>30-Dec</c:v>
                </c:pt>
              </c:strCache>
            </c:strRef>
          </c:cat>
          <c:val>
            <c:numRef>
              <c:f>'Pivot Report'!$P$9:$P$38</c:f>
              <c:numCache>
                <c:formatCode>0.00</c:formatCode>
                <c:ptCount val="29"/>
                <c:pt idx="0">
                  <c:v>9</c:v>
                </c:pt>
                <c:pt idx="1">
                  <c:v>4.4000000000000004</c:v>
                </c:pt>
                <c:pt idx="2">
                  <c:v>4</c:v>
                </c:pt>
                <c:pt idx="3">
                  <c:v>0</c:v>
                </c:pt>
                <c:pt idx="4">
                  <c:v>2.875</c:v>
                </c:pt>
                <c:pt idx="5">
                  <c:v>5.25</c:v>
                </c:pt>
                <c:pt idx="6">
                  <c:v>6</c:v>
                </c:pt>
                <c:pt idx="7">
                  <c:v>6.5</c:v>
                </c:pt>
                <c:pt idx="8">
                  <c:v>5.5</c:v>
                </c:pt>
                <c:pt idx="9">
                  <c:v>5.666666666666667</c:v>
                </c:pt>
                <c:pt idx="10">
                  <c:v>5.25</c:v>
                </c:pt>
                <c:pt idx="11">
                  <c:v>7.25</c:v>
                </c:pt>
                <c:pt idx="12">
                  <c:v>6</c:v>
                </c:pt>
                <c:pt idx="13">
                  <c:v>4.5999999999999996</c:v>
                </c:pt>
                <c:pt idx="14">
                  <c:v>8</c:v>
                </c:pt>
                <c:pt idx="15">
                  <c:v>3.6666666666666665</c:v>
                </c:pt>
                <c:pt idx="16">
                  <c:v>2.4285714285714284</c:v>
                </c:pt>
                <c:pt idx="17">
                  <c:v>9</c:v>
                </c:pt>
                <c:pt idx="18">
                  <c:v>6</c:v>
                </c:pt>
                <c:pt idx="19">
                  <c:v>4</c:v>
                </c:pt>
                <c:pt idx="20">
                  <c:v>4.833333333333333</c:v>
                </c:pt>
                <c:pt idx="21">
                  <c:v>3.6</c:v>
                </c:pt>
                <c:pt idx="22">
                  <c:v>5</c:v>
                </c:pt>
                <c:pt idx="23">
                  <c:v>5.25</c:v>
                </c:pt>
                <c:pt idx="24">
                  <c:v>3.2</c:v>
                </c:pt>
                <c:pt idx="25">
                  <c:v>5.5</c:v>
                </c:pt>
                <c:pt idx="26">
                  <c:v>3</c:v>
                </c:pt>
                <c:pt idx="27">
                  <c:v>3.9090909090909092</c:v>
                </c:pt>
                <c:pt idx="28">
                  <c:v>2.6666666666666665</c:v>
                </c:pt>
              </c:numCache>
            </c:numRef>
          </c:val>
          <c:extLst>
            <c:ext xmlns:c16="http://schemas.microsoft.com/office/drawing/2014/chart" uri="{C3380CC4-5D6E-409C-BE32-E72D297353CC}">
              <c16:uniqueId val="{00000000-1921-4ACE-9FB9-50F0B079FC9D}"/>
            </c:ext>
          </c:extLst>
        </c:ser>
        <c:dLbls>
          <c:showLegendKey val="0"/>
          <c:showVal val="0"/>
          <c:showCatName val="0"/>
          <c:showSerName val="0"/>
          <c:showPercent val="0"/>
          <c:showBubbleSize val="0"/>
        </c:dLbls>
        <c:axId val="2011381056"/>
        <c:axId val="2011382016"/>
      </c:areaChart>
      <c:catAx>
        <c:axId val="2011381056"/>
        <c:scaling>
          <c:orientation val="minMax"/>
        </c:scaling>
        <c:delete val="1"/>
        <c:axPos val="b"/>
        <c:numFmt formatCode="General" sourceLinked="1"/>
        <c:majorTickMark val="out"/>
        <c:minorTickMark val="none"/>
        <c:tickLblPos val="nextTo"/>
        <c:crossAx val="2011382016"/>
        <c:crosses val="autoZero"/>
        <c:auto val="1"/>
        <c:lblAlgn val="ctr"/>
        <c:lblOffset val="100"/>
        <c:noMultiLvlLbl val="0"/>
      </c:catAx>
      <c:valAx>
        <c:axId val="2011382016"/>
        <c:scaling>
          <c:orientation val="minMax"/>
        </c:scaling>
        <c:delete val="1"/>
        <c:axPos val="l"/>
        <c:numFmt formatCode="0.00" sourceLinked="1"/>
        <c:majorTickMark val="none"/>
        <c:minorTickMark val="none"/>
        <c:tickLblPos val="nextTo"/>
        <c:crossAx val="201138105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using Excel.xlsx]Pivot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Report'!$A$58:$A$66</c:f>
              <c:strCache>
                <c:ptCount val="8"/>
                <c:pt idx="0">
                  <c:v>0-09</c:v>
                </c:pt>
                <c:pt idx="1">
                  <c:v>10-19</c:v>
                </c:pt>
                <c:pt idx="2">
                  <c:v>20-29</c:v>
                </c:pt>
                <c:pt idx="3">
                  <c:v>30-39</c:v>
                </c:pt>
                <c:pt idx="4">
                  <c:v>40-49</c:v>
                </c:pt>
                <c:pt idx="5">
                  <c:v>50-59</c:v>
                </c:pt>
                <c:pt idx="6">
                  <c:v>60-69</c:v>
                </c:pt>
                <c:pt idx="7">
                  <c:v>70-79</c:v>
                </c:pt>
              </c:strCache>
            </c:strRef>
          </c:cat>
          <c:val>
            <c:numRef>
              <c:f>'Pivot Report'!$B$58:$B$66</c:f>
              <c:numCache>
                <c:formatCode>0</c:formatCode>
                <c:ptCount val="8"/>
                <c:pt idx="0">
                  <c:v>49</c:v>
                </c:pt>
                <c:pt idx="1">
                  <c:v>56</c:v>
                </c:pt>
                <c:pt idx="2">
                  <c:v>71</c:v>
                </c:pt>
                <c:pt idx="3">
                  <c:v>72</c:v>
                </c:pt>
                <c:pt idx="4">
                  <c:v>64</c:v>
                </c:pt>
                <c:pt idx="5">
                  <c:v>60</c:v>
                </c:pt>
                <c:pt idx="6">
                  <c:v>64</c:v>
                </c:pt>
                <c:pt idx="7">
                  <c:v>53</c:v>
                </c:pt>
              </c:numCache>
            </c:numRef>
          </c:val>
          <c:extLst>
            <c:ext xmlns:c16="http://schemas.microsoft.com/office/drawing/2014/chart" uri="{C3380CC4-5D6E-409C-BE32-E72D297353CC}">
              <c16:uniqueId val="{00000000-FBB9-4EF8-AE25-8F96E66DAE93}"/>
            </c:ext>
          </c:extLst>
        </c:ser>
        <c:dLbls>
          <c:showLegendKey val="0"/>
          <c:showVal val="0"/>
          <c:showCatName val="0"/>
          <c:showSerName val="0"/>
          <c:showPercent val="0"/>
          <c:showBubbleSize val="0"/>
        </c:dLbls>
        <c:gapWidth val="219"/>
        <c:overlap val="-27"/>
        <c:axId val="155586544"/>
        <c:axId val="155582704"/>
      </c:barChart>
      <c:catAx>
        <c:axId val="15558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5582704"/>
        <c:crosses val="autoZero"/>
        <c:auto val="1"/>
        <c:lblAlgn val="ctr"/>
        <c:lblOffset val="100"/>
        <c:noMultiLvlLbl val="0"/>
      </c:catAx>
      <c:valAx>
        <c:axId val="155582704"/>
        <c:scaling>
          <c:orientation val="minMax"/>
        </c:scaling>
        <c:delete val="1"/>
        <c:axPos val="l"/>
        <c:numFmt formatCode="0" sourceLinked="1"/>
        <c:majorTickMark val="none"/>
        <c:minorTickMark val="none"/>
        <c:tickLblPos val="nextTo"/>
        <c:crossAx val="155586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using Excel.xlsx]Pivot Report!PivotTable9</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9077117435009419"/>
          <c:y val="0.18829948887967951"/>
          <c:w val="0.61559120462639261"/>
          <c:h val="0.65069070313579225"/>
        </c:manualLayout>
      </c:layout>
      <c:pieChart>
        <c:varyColors val="1"/>
        <c:ser>
          <c:idx val="0"/>
          <c:order val="0"/>
          <c:tx>
            <c:strRef>
              <c:f>'Pivot Report'!$E$57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9AB-4D1B-AB9A-B5BBA993A9B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9AB-4D1B-AB9A-B5BBA993A9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Report'!$D$58:$D$60</c:f>
              <c:strCache>
                <c:ptCount val="2"/>
                <c:pt idx="0">
                  <c:v>Delay</c:v>
                </c:pt>
                <c:pt idx="1">
                  <c:v>Ontime</c:v>
                </c:pt>
              </c:strCache>
            </c:strRef>
          </c:cat>
          <c:val>
            <c:numRef>
              <c:f>'Pivot Report'!$E$58:$E$60</c:f>
              <c:numCache>
                <c:formatCode>0</c:formatCode>
                <c:ptCount val="2"/>
                <c:pt idx="0">
                  <c:v>286</c:v>
                </c:pt>
                <c:pt idx="1">
                  <c:v>203</c:v>
                </c:pt>
              </c:numCache>
            </c:numRef>
          </c:val>
          <c:extLst>
            <c:ext xmlns:c16="http://schemas.microsoft.com/office/drawing/2014/chart" uri="{C3380CC4-5D6E-409C-BE32-E72D297353CC}">
              <c16:uniqueId val="{00000004-A9AB-4D1B-AB9A-B5BBA993A9B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legendEntry>
      <c:layout>
        <c:manualLayout>
          <c:xMode val="edge"/>
          <c:yMode val="edge"/>
          <c:x val="0.10700384443645787"/>
          <c:y val="2.3726305045202706E-2"/>
          <c:w val="0.75425719606625941"/>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using Excel.xlsx]Pivot Report!PivotTable10</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950166430345632"/>
          <c:y val="0.21104471316085488"/>
          <c:w val="0.55913154533844189"/>
          <c:h val="0.65148809523809526"/>
        </c:manualLayout>
      </c:layout>
      <c:doughnutChart>
        <c:varyColors val="1"/>
        <c:ser>
          <c:idx val="0"/>
          <c:order val="0"/>
          <c:tx>
            <c:strRef>
              <c:f>'Pivot Report'!$E$64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EC6-4DFA-BBD4-B667CEB322E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EC6-4DFA-BBD4-B667CEB322E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Report'!$D$65:$D$67</c:f>
              <c:strCache>
                <c:ptCount val="2"/>
                <c:pt idx="0">
                  <c:v>Female</c:v>
                </c:pt>
                <c:pt idx="1">
                  <c:v>Male</c:v>
                </c:pt>
              </c:strCache>
            </c:strRef>
          </c:cat>
          <c:val>
            <c:numRef>
              <c:f>'Pivot Report'!$E$65:$E$67</c:f>
              <c:numCache>
                <c:formatCode>0.00</c:formatCode>
                <c:ptCount val="2"/>
                <c:pt idx="0">
                  <c:v>240</c:v>
                </c:pt>
                <c:pt idx="1">
                  <c:v>249</c:v>
                </c:pt>
              </c:numCache>
            </c:numRef>
          </c:val>
          <c:extLst>
            <c:ext xmlns:c16="http://schemas.microsoft.com/office/drawing/2014/chart" uri="{C3380CC4-5D6E-409C-BE32-E72D297353CC}">
              <c16:uniqueId val="{00000004-4EC6-4DFA-BBD4-B667CEB322EE}"/>
            </c:ext>
          </c:extLst>
        </c:ser>
        <c:dLbls>
          <c:showLegendKey val="0"/>
          <c:showVal val="0"/>
          <c:showCatName val="0"/>
          <c:showSerName val="0"/>
          <c:showPercent val="1"/>
          <c:showBubbleSize val="0"/>
          <c:showLeaderLines val="1"/>
        </c:dLbls>
        <c:firstSliceAng val="0"/>
        <c:holeSize val="60"/>
      </c:doughnutChart>
      <c:spPr>
        <a:noFill/>
        <a:ln>
          <a:noFill/>
        </a:ln>
        <a:effectLst/>
      </c:spPr>
    </c:plotArea>
    <c:legend>
      <c:legendPos val="r"/>
      <c:legendEntry>
        <c:idx val="0"/>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legendEntry>
      <c:layout>
        <c:manualLayout>
          <c:xMode val="edge"/>
          <c:yMode val="edge"/>
          <c:x val="0.15344274494423829"/>
          <c:y val="4.224491469816273E-2"/>
          <c:w val="0.59904767651170043"/>
          <c:h val="0.137273594932864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using Excel.xlsx]Pivot Report!PivotTable11</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02241611690431"/>
          <c:y val="4.4824775876120618E-2"/>
          <c:w val="0.70201233291784471"/>
          <c:h val="0.87726867271175468"/>
        </c:manualLayout>
      </c:layout>
      <c:barChart>
        <c:barDir val="bar"/>
        <c:grouping val="clustered"/>
        <c:varyColors val="0"/>
        <c:ser>
          <c:idx val="0"/>
          <c:order val="0"/>
          <c:tx>
            <c:strRef>
              <c:f>'Pivot Report'!$J$60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Report'!$I$61:$I$69</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 Report'!$J$61:$J$69</c:f>
              <c:numCache>
                <c:formatCode>0</c:formatCode>
                <c:ptCount val="8"/>
                <c:pt idx="0">
                  <c:v>8</c:v>
                </c:pt>
                <c:pt idx="1">
                  <c:v>8</c:v>
                </c:pt>
                <c:pt idx="2">
                  <c:v>11</c:v>
                </c:pt>
                <c:pt idx="3">
                  <c:v>12</c:v>
                </c:pt>
                <c:pt idx="4">
                  <c:v>18</c:v>
                </c:pt>
                <c:pt idx="5">
                  <c:v>44</c:v>
                </c:pt>
                <c:pt idx="6">
                  <c:v>110</c:v>
                </c:pt>
                <c:pt idx="7">
                  <c:v>278</c:v>
                </c:pt>
              </c:numCache>
            </c:numRef>
          </c:val>
          <c:extLst>
            <c:ext xmlns:c16="http://schemas.microsoft.com/office/drawing/2014/chart" uri="{C3380CC4-5D6E-409C-BE32-E72D297353CC}">
              <c16:uniqueId val="{00000000-2634-4460-8682-C82E5A7766F9}"/>
            </c:ext>
          </c:extLst>
        </c:ser>
        <c:dLbls>
          <c:showLegendKey val="0"/>
          <c:showVal val="0"/>
          <c:showCatName val="0"/>
          <c:showSerName val="0"/>
          <c:showPercent val="0"/>
          <c:showBubbleSize val="0"/>
        </c:dLbls>
        <c:gapWidth val="182"/>
        <c:axId val="1377041247"/>
        <c:axId val="1377028767"/>
      </c:barChart>
      <c:catAx>
        <c:axId val="137704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77028767"/>
        <c:crosses val="autoZero"/>
        <c:auto val="1"/>
        <c:lblAlgn val="ctr"/>
        <c:lblOffset val="100"/>
        <c:noMultiLvlLbl val="0"/>
      </c:catAx>
      <c:valAx>
        <c:axId val="1377028767"/>
        <c:scaling>
          <c:orientation val="minMax"/>
        </c:scaling>
        <c:delete val="1"/>
        <c:axPos val="b"/>
        <c:numFmt formatCode="0" sourceLinked="1"/>
        <c:majorTickMark val="none"/>
        <c:minorTickMark val="none"/>
        <c:tickLblPos val="nextTo"/>
        <c:crossAx val="1377041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using Excel.xlsx]Pivot Report!PivotTable5</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Report'!$O$9:$O$38</c:f>
              <c:strCache>
                <c:ptCount val="29"/>
                <c:pt idx="0">
                  <c:v>1-Dec</c:v>
                </c:pt>
                <c:pt idx="1">
                  <c:v>2-Dec</c:v>
                </c:pt>
                <c:pt idx="2">
                  <c:v>3-Dec</c:v>
                </c:pt>
                <c:pt idx="3">
                  <c:v>4-Dec</c:v>
                </c:pt>
                <c:pt idx="4">
                  <c:v>5-Dec</c:v>
                </c:pt>
                <c:pt idx="5">
                  <c:v>6-Dec</c:v>
                </c:pt>
                <c:pt idx="6">
                  <c:v>8-Dec</c:v>
                </c:pt>
                <c:pt idx="7">
                  <c:v>9-Dec</c:v>
                </c:pt>
                <c:pt idx="8">
                  <c:v>10-Dec</c:v>
                </c:pt>
                <c:pt idx="9">
                  <c:v>11-Dec</c:v>
                </c:pt>
                <c:pt idx="10">
                  <c:v>12-Dec</c:v>
                </c:pt>
                <c:pt idx="11">
                  <c:v>13-Dec</c:v>
                </c:pt>
                <c:pt idx="12">
                  <c:v>14-Dec</c:v>
                </c:pt>
                <c:pt idx="13">
                  <c:v>15-Dec</c:v>
                </c:pt>
                <c:pt idx="14">
                  <c:v>16-Dec</c:v>
                </c:pt>
                <c:pt idx="15">
                  <c:v>17-Dec</c:v>
                </c:pt>
                <c:pt idx="16">
                  <c:v>18-Dec</c:v>
                </c:pt>
                <c:pt idx="17">
                  <c:v>19-Dec</c:v>
                </c:pt>
                <c:pt idx="18">
                  <c:v>20-Dec</c:v>
                </c:pt>
                <c:pt idx="19">
                  <c:v>21-Dec</c:v>
                </c:pt>
                <c:pt idx="20">
                  <c:v>22-Dec</c:v>
                </c:pt>
                <c:pt idx="21">
                  <c:v>23-Dec</c:v>
                </c:pt>
                <c:pt idx="22">
                  <c:v>24-Dec</c:v>
                </c:pt>
                <c:pt idx="23">
                  <c:v>25-Dec</c:v>
                </c:pt>
                <c:pt idx="24">
                  <c:v>26-Dec</c:v>
                </c:pt>
                <c:pt idx="25">
                  <c:v>27-Dec</c:v>
                </c:pt>
                <c:pt idx="26">
                  <c:v>28-Dec</c:v>
                </c:pt>
                <c:pt idx="27">
                  <c:v>29-Dec</c:v>
                </c:pt>
                <c:pt idx="28">
                  <c:v>30-Dec</c:v>
                </c:pt>
              </c:strCache>
            </c:strRef>
          </c:cat>
          <c:val>
            <c:numRef>
              <c:f>'Pivot Report'!$P$9:$P$38</c:f>
              <c:numCache>
                <c:formatCode>0.00</c:formatCode>
                <c:ptCount val="29"/>
                <c:pt idx="0">
                  <c:v>9</c:v>
                </c:pt>
                <c:pt idx="1">
                  <c:v>4.4000000000000004</c:v>
                </c:pt>
                <c:pt idx="2">
                  <c:v>4</c:v>
                </c:pt>
                <c:pt idx="3">
                  <c:v>0</c:v>
                </c:pt>
                <c:pt idx="4">
                  <c:v>2.875</c:v>
                </c:pt>
                <c:pt idx="5">
                  <c:v>5.25</c:v>
                </c:pt>
                <c:pt idx="6">
                  <c:v>6</c:v>
                </c:pt>
                <c:pt idx="7">
                  <c:v>6.5</c:v>
                </c:pt>
                <c:pt idx="8">
                  <c:v>5.5</c:v>
                </c:pt>
                <c:pt idx="9">
                  <c:v>5.666666666666667</c:v>
                </c:pt>
                <c:pt idx="10">
                  <c:v>5.25</c:v>
                </c:pt>
                <c:pt idx="11">
                  <c:v>7.25</c:v>
                </c:pt>
                <c:pt idx="12">
                  <c:v>6</c:v>
                </c:pt>
                <c:pt idx="13">
                  <c:v>4.5999999999999996</c:v>
                </c:pt>
                <c:pt idx="14">
                  <c:v>8</c:v>
                </c:pt>
                <c:pt idx="15">
                  <c:v>3.6666666666666665</c:v>
                </c:pt>
                <c:pt idx="16">
                  <c:v>2.4285714285714284</c:v>
                </c:pt>
                <c:pt idx="17">
                  <c:v>9</c:v>
                </c:pt>
                <c:pt idx="18">
                  <c:v>6</c:v>
                </c:pt>
                <c:pt idx="19">
                  <c:v>4</c:v>
                </c:pt>
                <c:pt idx="20">
                  <c:v>4.833333333333333</c:v>
                </c:pt>
                <c:pt idx="21">
                  <c:v>3.6</c:v>
                </c:pt>
                <c:pt idx="22">
                  <c:v>5</c:v>
                </c:pt>
                <c:pt idx="23">
                  <c:v>5.25</c:v>
                </c:pt>
                <c:pt idx="24">
                  <c:v>3.2</c:v>
                </c:pt>
                <c:pt idx="25">
                  <c:v>5.5</c:v>
                </c:pt>
                <c:pt idx="26">
                  <c:v>3</c:v>
                </c:pt>
                <c:pt idx="27">
                  <c:v>3.9090909090909092</c:v>
                </c:pt>
                <c:pt idx="28">
                  <c:v>2.6666666666666665</c:v>
                </c:pt>
              </c:numCache>
            </c:numRef>
          </c:val>
          <c:extLst>
            <c:ext xmlns:c16="http://schemas.microsoft.com/office/drawing/2014/chart" uri="{C3380CC4-5D6E-409C-BE32-E72D297353CC}">
              <c16:uniqueId val="{00000001-8209-4B41-BE27-B1AA910AFCB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18321440"/>
        <c:axId val="2018323360"/>
      </c:areaChart>
      <c:catAx>
        <c:axId val="20183214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18323360"/>
        <c:crosses val="autoZero"/>
        <c:auto val="1"/>
        <c:lblAlgn val="ctr"/>
        <c:lblOffset val="100"/>
        <c:noMultiLvlLbl val="0"/>
      </c:catAx>
      <c:valAx>
        <c:axId val="2018323360"/>
        <c:scaling>
          <c:orientation val="minMax"/>
        </c:scaling>
        <c:delete val="1"/>
        <c:axPos val="l"/>
        <c:numFmt formatCode="0.00" sourceLinked="1"/>
        <c:majorTickMark val="out"/>
        <c:minorTickMark val="none"/>
        <c:tickLblPos val="nextTo"/>
        <c:crossAx val="20183214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using Excel.xlsx]Pivot Report!PivotTable4</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Report'!$J$9:$J$40</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Report'!$K$9:$K$40</c:f>
              <c:numCache>
                <c:formatCode>0.00</c:formatCode>
                <c:ptCount val="31"/>
                <c:pt idx="0">
                  <c:v>34.5</c:v>
                </c:pt>
                <c:pt idx="1">
                  <c:v>35.4</c:v>
                </c:pt>
                <c:pt idx="2">
                  <c:v>34.928571428571431</c:v>
                </c:pt>
                <c:pt idx="3">
                  <c:v>44.25</c:v>
                </c:pt>
                <c:pt idx="4">
                  <c:v>40.1875</c:v>
                </c:pt>
                <c:pt idx="5">
                  <c:v>35</c:v>
                </c:pt>
                <c:pt idx="6">
                  <c:v>43.142857142857146</c:v>
                </c:pt>
                <c:pt idx="7">
                  <c:v>43.6875</c:v>
                </c:pt>
                <c:pt idx="8">
                  <c:v>33.857142857142854</c:v>
                </c:pt>
                <c:pt idx="9">
                  <c:v>40.1875</c:v>
                </c:pt>
                <c:pt idx="10">
                  <c:v>34.9375</c:v>
                </c:pt>
                <c:pt idx="11">
                  <c:v>28.684210526315791</c:v>
                </c:pt>
                <c:pt idx="12">
                  <c:v>25</c:v>
                </c:pt>
                <c:pt idx="13">
                  <c:v>35.46153846153846</c:v>
                </c:pt>
                <c:pt idx="14">
                  <c:v>33.814814814814817</c:v>
                </c:pt>
                <c:pt idx="15">
                  <c:v>33.631578947368418</c:v>
                </c:pt>
                <c:pt idx="16">
                  <c:v>36.611111111111114</c:v>
                </c:pt>
                <c:pt idx="17">
                  <c:v>30.5</c:v>
                </c:pt>
                <c:pt idx="18">
                  <c:v>33.6</c:v>
                </c:pt>
                <c:pt idx="19">
                  <c:v>26.75</c:v>
                </c:pt>
                <c:pt idx="20">
                  <c:v>37.684210526315788</c:v>
                </c:pt>
                <c:pt idx="21">
                  <c:v>36.611111111111114</c:v>
                </c:pt>
                <c:pt idx="22">
                  <c:v>35.428571428571431</c:v>
                </c:pt>
                <c:pt idx="23">
                  <c:v>31.944444444444443</c:v>
                </c:pt>
                <c:pt idx="24">
                  <c:v>31.875</c:v>
                </c:pt>
                <c:pt idx="25">
                  <c:v>28.642857142857142</c:v>
                </c:pt>
                <c:pt idx="26">
                  <c:v>39.214285714285715</c:v>
                </c:pt>
                <c:pt idx="27">
                  <c:v>32.0625</c:v>
                </c:pt>
                <c:pt idx="28">
                  <c:v>28.285714285714285</c:v>
                </c:pt>
                <c:pt idx="29">
                  <c:v>35.476190476190474</c:v>
                </c:pt>
                <c:pt idx="30">
                  <c:v>39.799999999999997</c:v>
                </c:pt>
              </c:numCache>
            </c:numRef>
          </c:val>
          <c:extLst>
            <c:ext xmlns:c16="http://schemas.microsoft.com/office/drawing/2014/chart" uri="{C3380CC4-5D6E-409C-BE32-E72D297353CC}">
              <c16:uniqueId val="{00000001-FF5D-4CF6-9BC0-0A23F35AD3D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67535519"/>
        <c:axId val="767535999"/>
      </c:areaChart>
      <c:catAx>
        <c:axId val="76753551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67535999"/>
        <c:crosses val="autoZero"/>
        <c:auto val="1"/>
        <c:lblAlgn val="ctr"/>
        <c:lblOffset val="100"/>
        <c:noMultiLvlLbl val="0"/>
      </c:catAx>
      <c:valAx>
        <c:axId val="767535999"/>
        <c:scaling>
          <c:orientation val="minMax"/>
        </c:scaling>
        <c:delete val="1"/>
        <c:axPos val="l"/>
        <c:numFmt formatCode="0.00" sourceLinked="1"/>
        <c:majorTickMark val="out"/>
        <c:minorTickMark val="none"/>
        <c:tickLblPos val="nextTo"/>
        <c:crossAx val="7675355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using Excel.xlsx]Pivot Report!PivotTable7</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Report'!$C$9:$C$40</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Report'!$D$9:$D$40</c:f>
              <c:numCache>
                <c:formatCode>General</c:formatCode>
                <c:ptCount val="31"/>
                <c:pt idx="0">
                  <c:v>16</c:v>
                </c:pt>
                <c:pt idx="1">
                  <c:v>15</c:v>
                </c:pt>
                <c:pt idx="2">
                  <c:v>14</c:v>
                </c:pt>
                <c:pt idx="3">
                  <c:v>12</c:v>
                </c:pt>
                <c:pt idx="4">
                  <c:v>16</c:v>
                </c:pt>
                <c:pt idx="5">
                  <c:v>11</c:v>
                </c:pt>
                <c:pt idx="6">
                  <c:v>7</c:v>
                </c:pt>
                <c:pt idx="7">
                  <c:v>16</c:v>
                </c:pt>
                <c:pt idx="8">
                  <c:v>7</c:v>
                </c:pt>
                <c:pt idx="9">
                  <c:v>16</c:v>
                </c:pt>
                <c:pt idx="10">
                  <c:v>16</c:v>
                </c:pt>
                <c:pt idx="11">
                  <c:v>19</c:v>
                </c:pt>
                <c:pt idx="12">
                  <c:v>10</c:v>
                </c:pt>
                <c:pt idx="13">
                  <c:v>13</c:v>
                </c:pt>
                <c:pt idx="14">
                  <c:v>27</c:v>
                </c:pt>
                <c:pt idx="15">
                  <c:v>19</c:v>
                </c:pt>
                <c:pt idx="16">
                  <c:v>18</c:v>
                </c:pt>
                <c:pt idx="17">
                  <c:v>12</c:v>
                </c:pt>
                <c:pt idx="18">
                  <c:v>20</c:v>
                </c:pt>
                <c:pt idx="19">
                  <c:v>12</c:v>
                </c:pt>
                <c:pt idx="20">
                  <c:v>19</c:v>
                </c:pt>
                <c:pt idx="21">
                  <c:v>18</c:v>
                </c:pt>
                <c:pt idx="22">
                  <c:v>21</c:v>
                </c:pt>
                <c:pt idx="23">
                  <c:v>18</c:v>
                </c:pt>
                <c:pt idx="24">
                  <c:v>16</c:v>
                </c:pt>
                <c:pt idx="25">
                  <c:v>14</c:v>
                </c:pt>
                <c:pt idx="26">
                  <c:v>14</c:v>
                </c:pt>
                <c:pt idx="27">
                  <c:v>16</c:v>
                </c:pt>
                <c:pt idx="28">
                  <c:v>21</c:v>
                </c:pt>
                <c:pt idx="29">
                  <c:v>21</c:v>
                </c:pt>
                <c:pt idx="30">
                  <c:v>15</c:v>
                </c:pt>
              </c:numCache>
            </c:numRef>
          </c:val>
          <c:extLst>
            <c:ext xmlns:c16="http://schemas.microsoft.com/office/drawing/2014/chart" uri="{C3380CC4-5D6E-409C-BE32-E72D297353CC}">
              <c16:uniqueId val="{00000001-5B8E-470E-BA8E-6D2862EBCDC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31399311"/>
        <c:axId val="2031399791"/>
      </c:areaChart>
      <c:catAx>
        <c:axId val="20313993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31399791"/>
        <c:crosses val="autoZero"/>
        <c:auto val="1"/>
        <c:lblAlgn val="ctr"/>
        <c:lblOffset val="100"/>
        <c:noMultiLvlLbl val="0"/>
      </c:catAx>
      <c:valAx>
        <c:axId val="2031399791"/>
        <c:scaling>
          <c:orientation val="minMax"/>
        </c:scaling>
        <c:delete val="1"/>
        <c:axPos val="l"/>
        <c:numFmt formatCode="General" sourceLinked="1"/>
        <c:majorTickMark val="out"/>
        <c:minorTickMark val="none"/>
        <c:tickLblPos val="nextTo"/>
        <c:crossAx val="20313993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image" Target="../media/image8.emf"/><Relationship Id="rId10" Type="http://schemas.openxmlformats.org/officeDocument/2006/relationships/hyperlink" Target="#'Average Wait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45720</xdr:colOff>
      <xdr:row>48</xdr:row>
      <xdr:rowOff>45720</xdr:rowOff>
    </xdr:from>
    <xdr:to>
      <xdr:col>4</xdr:col>
      <xdr:colOff>0</xdr:colOff>
      <xdr:row>51</xdr:row>
      <xdr:rowOff>91440</xdr:rowOff>
    </xdr:to>
    <xdr:graphicFrame macro="">
      <xdr:nvGraphicFramePr>
        <xdr:cNvPr id="4" name="Chart 3">
          <a:extLst>
            <a:ext uri="{FF2B5EF4-FFF2-40B4-BE49-F238E27FC236}">
              <a16:creationId xmlns:a16="http://schemas.microsoft.com/office/drawing/2014/main" id="{8A35683F-634D-9A7D-A84E-927B107CF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480060</xdr:colOff>
      <xdr:row>0</xdr:row>
      <xdr:rowOff>144780</xdr:rowOff>
    </xdr:from>
    <xdr:to>
      <xdr:col>8</xdr:col>
      <xdr:colOff>342900</xdr:colOff>
      <xdr:row>4</xdr:row>
      <xdr:rowOff>137160</xdr:rowOff>
    </xdr:to>
    <xdr:sp macro="" textlink="">
      <xdr:nvSpPr>
        <xdr:cNvPr id="2" name="Rectangle: Rounded Corners 1">
          <a:extLst>
            <a:ext uri="{FF2B5EF4-FFF2-40B4-BE49-F238E27FC236}">
              <a16:creationId xmlns:a16="http://schemas.microsoft.com/office/drawing/2014/main" id="{5C2D77DD-9AFB-2648-2933-DAD04B1490FD}"/>
            </a:ext>
          </a:extLst>
        </xdr:cNvPr>
        <xdr:cNvSpPr/>
      </xdr:nvSpPr>
      <xdr:spPr>
        <a:xfrm>
          <a:off x="480060" y="144780"/>
          <a:ext cx="4739640" cy="72390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472440</xdr:colOff>
      <xdr:row>0</xdr:row>
      <xdr:rowOff>121920</xdr:rowOff>
    </xdr:from>
    <xdr:to>
      <xdr:col>11</xdr:col>
      <xdr:colOff>60960</xdr:colOff>
      <xdr:row>4</xdr:row>
      <xdr:rowOff>114300</xdr:rowOff>
    </xdr:to>
    <xdr:sp macro="" textlink="">
      <xdr:nvSpPr>
        <xdr:cNvPr id="3" name="Rectangle: Rounded Corners 2">
          <a:extLst>
            <a:ext uri="{FF2B5EF4-FFF2-40B4-BE49-F238E27FC236}">
              <a16:creationId xmlns:a16="http://schemas.microsoft.com/office/drawing/2014/main" id="{1411A493-4D9E-7988-A6D8-E4539849825D}"/>
            </a:ext>
          </a:extLst>
        </xdr:cNvPr>
        <xdr:cNvSpPr/>
      </xdr:nvSpPr>
      <xdr:spPr>
        <a:xfrm>
          <a:off x="5349240" y="121920"/>
          <a:ext cx="1417320" cy="72390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281940</xdr:colOff>
      <xdr:row>0</xdr:row>
      <xdr:rowOff>106680</xdr:rowOff>
    </xdr:from>
    <xdr:to>
      <xdr:col>14</xdr:col>
      <xdr:colOff>297180</xdr:colOff>
      <xdr:row>10</xdr:row>
      <xdr:rowOff>0</xdr:rowOff>
    </xdr:to>
    <xdr:sp macro="" textlink="">
      <xdr:nvSpPr>
        <xdr:cNvPr id="4" name="Rectangle: Rounded Corners 3">
          <a:extLst>
            <a:ext uri="{FF2B5EF4-FFF2-40B4-BE49-F238E27FC236}">
              <a16:creationId xmlns:a16="http://schemas.microsoft.com/office/drawing/2014/main" id="{17AB90B3-346D-33AC-BC5D-F5F751FE1D45}"/>
            </a:ext>
          </a:extLst>
        </xdr:cNvPr>
        <xdr:cNvSpPr/>
      </xdr:nvSpPr>
      <xdr:spPr>
        <a:xfrm>
          <a:off x="6987540" y="106680"/>
          <a:ext cx="1844040" cy="172212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487680</xdr:colOff>
      <xdr:row>0</xdr:row>
      <xdr:rowOff>99060</xdr:rowOff>
    </xdr:from>
    <xdr:to>
      <xdr:col>18</xdr:col>
      <xdr:colOff>22860</xdr:colOff>
      <xdr:row>9</xdr:row>
      <xdr:rowOff>175260</xdr:rowOff>
    </xdr:to>
    <xdr:sp macro="" textlink="">
      <xdr:nvSpPr>
        <xdr:cNvPr id="5" name="Rectangle: Rounded Corners 4">
          <a:extLst>
            <a:ext uri="{FF2B5EF4-FFF2-40B4-BE49-F238E27FC236}">
              <a16:creationId xmlns:a16="http://schemas.microsoft.com/office/drawing/2014/main" id="{BC02A51F-E620-B5BE-AF2B-649AFB58885E}"/>
            </a:ext>
          </a:extLst>
        </xdr:cNvPr>
        <xdr:cNvSpPr/>
      </xdr:nvSpPr>
      <xdr:spPr>
        <a:xfrm>
          <a:off x="9022080" y="99060"/>
          <a:ext cx="1973580" cy="172212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464820</xdr:colOff>
      <xdr:row>5</xdr:row>
      <xdr:rowOff>60960</xdr:rowOff>
    </xdr:from>
    <xdr:to>
      <xdr:col>2</xdr:col>
      <xdr:colOff>320040</xdr:colOff>
      <xdr:row>27</xdr:row>
      <xdr:rowOff>114300</xdr:rowOff>
    </xdr:to>
    <xdr:sp macro="" textlink="">
      <xdr:nvSpPr>
        <xdr:cNvPr id="6" name="Rectangle: Rounded Corners 5">
          <a:extLst>
            <a:ext uri="{FF2B5EF4-FFF2-40B4-BE49-F238E27FC236}">
              <a16:creationId xmlns:a16="http://schemas.microsoft.com/office/drawing/2014/main" id="{3CFC1CEB-BDBD-8BFF-E3D6-F3812BC70E3A}"/>
            </a:ext>
          </a:extLst>
        </xdr:cNvPr>
        <xdr:cNvSpPr/>
      </xdr:nvSpPr>
      <xdr:spPr>
        <a:xfrm>
          <a:off x="464820" y="975360"/>
          <a:ext cx="1074420" cy="407670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312420</xdr:colOff>
      <xdr:row>10</xdr:row>
      <xdr:rowOff>106680</xdr:rowOff>
    </xdr:from>
    <xdr:to>
      <xdr:col>18</xdr:col>
      <xdr:colOff>0</xdr:colOff>
      <xdr:row>27</xdr:row>
      <xdr:rowOff>144780</xdr:rowOff>
    </xdr:to>
    <xdr:sp macro="" textlink="">
      <xdr:nvSpPr>
        <xdr:cNvPr id="7" name="Rectangle: Rounded Corners 6">
          <a:extLst>
            <a:ext uri="{FF2B5EF4-FFF2-40B4-BE49-F238E27FC236}">
              <a16:creationId xmlns:a16="http://schemas.microsoft.com/office/drawing/2014/main" id="{DBAC7FA9-D639-2685-D409-AF28A326749E}"/>
            </a:ext>
          </a:extLst>
        </xdr:cNvPr>
        <xdr:cNvSpPr/>
      </xdr:nvSpPr>
      <xdr:spPr>
        <a:xfrm>
          <a:off x="7018020" y="1935480"/>
          <a:ext cx="3954780" cy="314706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601980</xdr:colOff>
      <xdr:row>16</xdr:row>
      <xdr:rowOff>175260</xdr:rowOff>
    </xdr:from>
    <xdr:to>
      <xdr:col>11</xdr:col>
      <xdr:colOff>68580</xdr:colOff>
      <xdr:row>27</xdr:row>
      <xdr:rowOff>121920</xdr:rowOff>
    </xdr:to>
    <xdr:sp macro="" textlink="">
      <xdr:nvSpPr>
        <xdr:cNvPr id="8" name="Rectangle: Rounded Corners 7">
          <a:extLst>
            <a:ext uri="{FF2B5EF4-FFF2-40B4-BE49-F238E27FC236}">
              <a16:creationId xmlns:a16="http://schemas.microsoft.com/office/drawing/2014/main" id="{EFA4D9FC-0D67-D221-65C9-CA839687470E}"/>
            </a:ext>
          </a:extLst>
        </xdr:cNvPr>
        <xdr:cNvSpPr/>
      </xdr:nvSpPr>
      <xdr:spPr>
        <a:xfrm>
          <a:off x="1821180" y="3101340"/>
          <a:ext cx="4953000" cy="195834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579120</xdr:colOff>
      <xdr:row>5</xdr:row>
      <xdr:rowOff>83820</xdr:rowOff>
    </xdr:from>
    <xdr:to>
      <xdr:col>5</xdr:col>
      <xdr:colOff>228600</xdr:colOff>
      <xdr:row>10</xdr:row>
      <xdr:rowOff>15240</xdr:rowOff>
    </xdr:to>
    <xdr:sp macro="" textlink="">
      <xdr:nvSpPr>
        <xdr:cNvPr id="11" name="Rectangle: Rounded Corners 10">
          <a:extLst>
            <a:ext uri="{FF2B5EF4-FFF2-40B4-BE49-F238E27FC236}">
              <a16:creationId xmlns:a16="http://schemas.microsoft.com/office/drawing/2014/main" id="{EE6FBDF3-C336-A868-0A4E-64D9BE1EB43E}"/>
            </a:ext>
          </a:extLst>
        </xdr:cNvPr>
        <xdr:cNvSpPr/>
      </xdr:nvSpPr>
      <xdr:spPr>
        <a:xfrm>
          <a:off x="1798320" y="998220"/>
          <a:ext cx="1478280" cy="84582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457200</xdr:colOff>
      <xdr:row>5</xdr:row>
      <xdr:rowOff>68580</xdr:rowOff>
    </xdr:from>
    <xdr:to>
      <xdr:col>8</xdr:col>
      <xdr:colOff>106680</xdr:colOff>
      <xdr:row>10</xdr:row>
      <xdr:rowOff>0</xdr:rowOff>
    </xdr:to>
    <xdr:sp macro="" textlink="">
      <xdr:nvSpPr>
        <xdr:cNvPr id="39" name="Rectangle: Rounded Corners 38">
          <a:extLst>
            <a:ext uri="{FF2B5EF4-FFF2-40B4-BE49-F238E27FC236}">
              <a16:creationId xmlns:a16="http://schemas.microsoft.com/office/drawing/2014/main" id="{B00695DE-2DC7-5115-C86A-AFA3A29E8B27}"/>
            </a:ext>
          </a:extLst>
        </xdr:cNvPr>
        <xdr:cNvSpPr/>
      </xdr:nvSpPr>
      <xdr:spPr>
        <a:xfrm>
          <a:off x="3505200" y="982980"/>
          <a:ext cx="1478280" cy="84582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350520</xdr:colOff>
      <xdr:row>5</xdr:row>
      <xdr:rowOff>91440</xdr:rowOff>
    </xdr:from>
    <xdr:to>
      <xdr:col>11</xdr:col>
      <xdr:colOff>38100</xdr:colOff>
      <xdr:row>10</xdr:row>
      <xdr:rowOff>22860</xdr:rowOff>
    </xdr:to>
    <xdr:sp macro="" textlink="">
      <xdr:nvSpPr>
        <xdr:cNvPr id="40" name="Rectangle: Rounded Corners 39">
          <a:extLst>
            <a:ext uri="{FF2B5EF4-FFF2-40B4-BE49-F238E27FC236}">
              <a16:creationId xmlns:a16="http://schemas.microsoft.com/office/drawing/2014/main" id="{A55060BD-1B57-A456-C5DA-CBE6B15D2ABB}"/>
            </a:ext>
          </a:extLst>
        </xdr:cNvPr>
        <xdr:cNvSpPr/>
      </xdr:nvSpPr>
      <xdr:spPr>
        <a:xfrm>
          <a:off x="5227320" y="1005840"/>
          <a:ext cx="1516380" cy="84582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396240</xdr:colOff>
      <xdr:row>1</xdr:row>
      <xdr:rowOff>72390</xdr:rowOff>
    </xdr:from>
    <xdr:to>
      <xdr:col>7</xdr:col>
      <xdr:colOff>434340</xdr:colOff>
      <xdr:row>3</xdr:row>
      <xdr:rowOff>7620</xdr:rowOff>
    </xdr:to>
    <xdr:sp macro="" textlink="">
      <xdr:nvSpPr>
        <xdr:cNvPr id="9" name="TextBox 8">
          <a:extLst>
            <a:ext uri="{FF2B5EF4-FFF2-40B4-BE49-F238E27FC236}">
              <a16:creationId xmlns:a16="http://schemas.microsoft.com/office/drawing/2014/main" id="{E17F6EF2-B77A-957F-4588-ED52C4DCD8E3}"/>
            </a:ext>
          </a:extLst>
        </xdr:cNvPr>
        <xdr:cNvSpPr txBox="1"/>
      </xdr:nvSpPr>
      <xdr:spPr>
        <a:xfrm>
          <a:off x="1615440" y="255270"/>
          <a:ext cx="3086100" cy="300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t>Hospital</a:t>
          </a:r>
          <a:r>
            <a:rPr lang="en-IN" sz="1600" baseline="0"/>
            <a:t> Emergency Room Dashboard</a:t>
          </a:r>
          <a:endParaRPr lang="en-IN" sz="1600"/>
        </a:p>
      </xdr:txBody>
    </xdr:sp>
    <xdr:clientData/>
  </xdr:twoCellAnchor>
  <xdr:twoCellAnchor editAs="absolute">
    <xdr:from>
      <xdr:col>0</xdr:col>
      <xdr:colOff>502920</xdr:colOff>
      <xdr:row>0</xdr:row>
      <xdr:rowOff>167640</xdr:rowOff>
    </xdr:from>
    <xdr:to>
      <xdr:col>2</xdr:col>
      <xdr:colOff>327660</xdr:colOff>
      <xdr:row>4</xdr:row>
      <xdr:rowOff>137160</xdr:rowOff>
    </xdr:to>
    <xdr:pic>
      <xdr:nvPicPr>
        <xdr:cNvPr id="13" name="Picture 12">
          <a:extLst>
            <a:ext uri="{FF2B5EF4-FFF2-40B4-BE49-F238E27FC236}">
              <a16:creationId xmlns:a16="http://schemas.microsoft.com/office/drawing/2014/main" id="{4C54C65D-A6A8-F5CA-319D-AE260454CF1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34" t="11826" r="18433" b="11815"/>
        <a:stretch/>
      </xdr:blipFill>
      <xdr:spPr>
        <a:xfrm>
          <a:off x="502920" y="167640"/>
          <a:ext cx="1043940" cy="701040"/>
        </a:xfrm>
        <a:prstGeom prst="rect">
          <a:avLst/>
        </a:prstGeom>
      </xdr:spPr>
    </xdr:pic>
    <xdr:clientData/>
  </xdr:twoCellAnchor>
  <xdr:twoCellAnchor>
    <xdr:from>
      <xdr:col>4</xdr:col>
      <xdr:colOff>106680</xdr:colOff>
      <xdr:row>2</xdr:row>
      <xdr:rowOff>175260</xdr:rowOff>
    </xdr:from>
    <xdr:to>
      <xdr:col>5</xdr:col>
      <xdr:colOff>601980</xdr:colOff>
      <xdr:row>4</xdr:row>
      <xdr:rowOff>15240</xdr:rowOff>
    </xdr:to>
    <xdr:sp macro="" textlink="">
      <xdr:nvSpPr>
        <xdr:cNvPr id="14" name="TextBox 13">
          <a:extLst>
            <a:ext uri="{FF2B5EF4-FFF2-40B4-BE49-F238E27FC236}">
              <a16:creationId xmlns:a16="http://schemas.microsoft.com/office/drawing/2014/main" id="{7F5F8C16-63C6-FFBB-B879-209C4715415F}"/>
            </a:ext>
          </a:extLst>
        </xdr:cNvPr>
        <xdr:cNvSpPr txBox="1"/>
      </xdr:nvSpPr>
      <xdr:spPr>
        <a:xfrm>
          <a:off x="2545080" y="541020"/>
          <a:ext cx="11049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0"/>
            <a:t>Monthly Report</a:t>
          </a:r>
        </a:p>
      </xdr:txBody>
    </xdr:sp>
    <xdr:clientData/>
  </xdr:twoCellAnchor>
  <xdr:twoCellAnchor>
    <xdr:from>
      <xdr:col>3</xdr:col>
      <xdr:colOff>137160</xdr:colOff>
      <xdr:row>6</xdr:row>
      <xdr:rowOff>7620</xdr:rowOff>
    </xdr:from>
    <xdr:to>
      <xdr:col>5</xdr:col>
      <xdr:colOff>22860</xdr:colOff>
      <xdr:row>7</xdr:row>
      <xdr:rowOff>30480</xdr:rowOff>
    </xdr:to>
    <xdr:sp macro="" textlink="'Pivot Report'!A7">
      <xdr:nvSpPr>
        <xdr:cNvPr id="17" name="TextBox 16">
          <a:extLst>
            <a:ext uri="{FF2B5EF4-FFF2-40B4-BE49-F238E27FC236}">
              <a16:creationId xmlns:a16="http://schemas.microsoft.com/office/drawing/2014/main" id="{D6C1898C-0F36-03ED-1F22-460573A26B83}"/>
            </a:ext>
          </a:extLst>
        </xdr:cNvPr>
        <xdr:cNvSpPr txBox="1"/>
      </xdr:nvSpPr>
      <xdr:spPr>
        <a:xfrm>
          <a:off x="1965960" y="1104900"/>
          <a:ext cx="11049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96000" tIns="0" rIns="0" bIns="0" rtlCol="0" anchor="t"/>
        <a:lstStyle/>
        <a:p>
          <a:fld id="{42A9C3B0-FEFF-4B56-B100-6743390857D0}" type="TxLink">
            <a:rPr lang="en-US" sz="1100" b="0" i="0" u="none" strike="noStrike">
              <a:solidFill>
                <a:srgbClr val="000000"/>
              </a:solidFill>
              <a:latin typeface="Aptos Narrow"/>
            </a:rPr>
            <a:pPr/>
            <a:t>489</a:t>
          </a:fld>
          <a:endParaRPr lang="en-IN" sz="1200" b="0"/>
        </a:p>
      </xdr:txBody>
    </xdr:sp>
    <xdr:clientData/>
  </xdr:twoCellAnchor>
  <xdr:twoCellAnchor>
    <xdr:from>
      <xdr:col>3</xdr:col>
      <xdr:colOff>304800</xdr:colOff>
      <xdr:row>7</xdr:row>
      <xdr:rowOff>167640</xdr:rowOff>
    </xdr:from>
    <xdr:to>
      <xdr:col>5</xdr:col>
      <xdr:colOff>198120</xdr:colOff>
      <xdr:row>9</xdr:row>
      <xdr:rowOff>45720</xdr:rowOff>
    </xdr:to>
    <xdr:sp macro="" textlink="">
      <xdr:nvSpPr>
        <xdr:cNvPr id="10" name="TextBox 9">
          <a:extLst>
            <a:ext uri="{FF2B5EF4-FFF2-40B4-BE49-F238E27FC236}">
              <a16:creationId xmlns:a16="http://schemas.microsoft.com/office/drawing/2014/main" id="{8127789E-A79D-72C1-3569-5EDCF125E3F4}"/>
            </a:ext>
          </a:extLst>
        </xdr:cNvPr>
        <xdr:cNvSpPr txBox="1"/>
      </xdr:nvSpPr>
      <xdr:spPr>
        <a:xfrm>
          <a:off x="2133600" y="1447800"/>
          <a:ext cx="11125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No. of Patient</a:t>
          </a:r>
        </a:p>
      </xdr:txBody>
    </xdr:sp>
    <xdr:clientData/>
  </xdr:twoCellAnchor>
  <xdr:twoCellAnchor>
    <xdr:from>
      <xdr:col>5</xdr:col>
      <xdr:colOff>579120</xdr:colOff>
      <xdr:row>5</xdr:row>
      <xdr:rowOff>175260</xdr:rowOff>
    </xdr:from>
    <xdr:to>
      <xdr:col>7</xdr:col>
      <xdr:colOff>464820</xdr:colOff>
      <xdr:row>7</xdr:row>
      <xdr:rowOff>15240</xdr:rowOff>
    </xdr:to>
    <xdr:sp macro="" textlink="'Pivot Report'!A14">
      <xdr:nvSpPr>
        <xdr:cNvPr id="12" name="TextBox 11">
          <a:extLst>
            <a:ext uri="{FF2B5EF4-FFF2-40B4-BE49-F238E27FC236}">
              <a16:creationId xmlns:a16="http://schemas.microsoft.com/office/drawing/2014/main" id="{5D5EFE50-E760-AC77-AB01-394CE1BF314B}"/>
            </a:ext>
          </a:extLst>
        </xdr:cNvPr>
        <xdr:cNvSpPr txBox="1"/>
      </xdr:nvSpPr>
      <xdr:spPr>
        <a:xfrm>
          <a:off x="3627120" y="1089660"/>
          <a:ext cx="11049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96000" tIns="0" rIns="0" bIns="0" rtlCol="0" anchor="t"/>
        <a:lstStyle/>
        <a:p>
          <a:fld id="{7F473674-9603-4575-B6CE-338CA75E9712}" type="TxLink">
            <a:rPr lang="en-US" sz="1100" b="0" i="0" u="none" strike="noStrike">
              <a:solidFill>
                <a:srgbClr val="000000"/>
              </a:solidFill>
              <a:latin typeface="Aptos Narrow"/>
            </a:rPr>
            <a:pPr/>
            <a:t>34.76</a:t>
          </a:fld>
          <a:endParaRPr lang="en-IN" sz="1200" b="0"/>
        </a:p>
      </xdr:txBody>
    </xdr:sp>
    <xdr:clientData/>
  </xdr:twoCellAnchor>
  <xdr:twoCellAnchor>
    <xdr:from>
      <xdr:col>6</xdr:col>
      <xdr:colOff>22860</xdr:colOff>
      <xdr:row>7</xdr:row>
      <xdr:rowOff>167640</xdr:rowOff>
    </xdr:from>
    <xdr:to>
      <xdr:col>8</xdr:col>
      <xdr:colOff>99060</xdr:colOff>
      <xdr:row>9</xdr:row>
      <xdr:rowOff>76200</xdr:rowOff>
    </xdr:to>
    <xdr:sp macro="" textlink="">
      <xdr:nvSpPr>
        <xdr:cNvPr id="19" name="TextBox 18">
          <a:extLst>
            <a:ext uri="{FF2B5EF4-FFF2-40B4-BE49-F238E27FC236}">
              <a16:creationId xmlns:a16="http://schemas.microsoft.com/office/drawing/2014/main" id="{24CE4B8C-E3E2-2E12-7562-1C8E5CD9B38F}"/>
            </a:ext>
          </a:extLst>
        </xdr:cNvPr>
        <xdr:cNvSpPr txBox="1"/>
      </xdr:nvSpPr>
      <xdr:spPr>
        <a:xfrm>
          <a:off x="3680460" y="1447800"/>
          <a:ext cx="1295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Average</a:t>
          </a:r>
          <a:r>
            <a:rPr lang="en-IN" sz="1100" baseline="0"/>
            <a:t> Waittime</a:t>
          </a:r>
          <a:endParaRPr lang="en-IN" sz="1100"/>
        </a:p>
      </xdr:txBody>
    </xdr:sp>
    <xdr:clientData/>
  </xdr:twoCellAnchor>
  <xdr:twoCellAnchor>
    <xdr:from>
      <xdr:col>8</xdr:col>
      <xdr:colOff>548640</xdr:colOff>
      <xdr:row>5</xdr:row>
      <xdr:rowOff>175260</xdr:rowOff>
    </xdr:from>
    <xdr:to>
      <xdr:col>10</xdr:col>
      <xdr:colOff>434340</xdr:colOff>
      <xdr:row>7</xdr:row>
      <xdr:rowOff>15240</xdr:rowOff>
    </xdr:to>
    <xdr:sp macro="" textlink="'Pivot Report'!A20">
      <xdr:nvSpPr>
        <xdr:cNvPr id="20" name="TextBox 19">
          <a:extLst>
            <a:ext uri="{FF2B5EF4-FFF2-40B4-BE49-F238E27FC236}">
              <a16:creationId xmlns:a16="http://schemas.microsoft.com/office/drawing/2014/main" id="{AADAD01D-C3A9-769D-DCEF-4C9039287E96}"/>
            </a:ext>
          </a:extLst>
        </xdr:cNvPr>
        <xdr:cNvSpPr txBox="1"/>
      </xdr:nvSpPr>
      <xdr:spPr>
        <a:xfrm>
          <a:off x="5425440" y="1089660"/>
          <a:ext cx="11049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96000" tIns="0" rIns="0" bIns="0" rtlCol="0" anchor="t"/>
        <a:lstStyle/>
        <a:p>
          <a:fld id="{E7043667-2272-455F-AB95-28AA826685F8}" type="TxLink">
            <a:rPr lang="en-US" sz="1100" b="0" i="0" u="none" strike="noStrike">
              <a:solidFill>
                <a:srgbClr val="000000"/>
              </a:solidFill>
              <a:latin typeface="Aptos Narrow"/>
            </a:rPr>
            <a:pPr/>
            <a:t>4.68</a:t>
          </a:fld>
          <a:endParaRPr lang="en-IN" sz="1200" b="0"/>
        </a:p>
      </xdr:txBody>
    </xdr:sp>
    <xdr:clientData/>
  </xdr:twoCellAnchor>
  <xdr:twoCellAnchor>
    <xdr:from>
      <xdr:col>8</xdr:col>
      <xdr:colOff>381000</xdr:colOff>
      <xdr:row>7</xdr:row>
      <xdr:rowOff>167640</xdr:rowOff>
    </xdr:from>
    <xdr:to>
      <xdr:col>11</xdr:col>
      <xdr:colOff>22860</xdr:colOff>
      <xdr:row>9</xdr:row>
      <xdr:rowOff>22860</xdr:rowOff>
    </xdr:to>
    <xdr:sp macro="" textlink="">
      <xdr:nvSpPr>
        <xdr:cNvPr id="21" name="TextBox 20">
          <a:extLst>
            <a:ext uri="{FF2B5EF4-FFF2-40B4-BE49-F238E27FC236}">
              <a16:creationId xmlns:a16="http://schemas.microsoft.com/office/drawing/2014/main" id="{BD827617-E45F-D014-224F-56D2C468ECEE}"/>
            </a:ext>
          </a:extLst>
        </xdr:cNvPr>
        <xdr:cNvSpPr txBox="1"/>
      </xdr:nvSpPr>
      <xdr:spPr>
        <a:xfrm>
          <a:off x="5257800" y="1447800"/>
          <a:ext cx="14706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Patient</a:t>
          </a:r>
          <a:r>
            <a:rPr lang="en-IN" sz="1100" baseline="0"/>
            <a:t> </a:t>
          </a:r>
          <a:r>
            <a:rPr lang="en-IN" sz="1100"/>
            <a:t>Satisfaction </a:t>
          </a:r>
          <a:r>
            <a:rPr lang="en-IN" sz="1100" baseline="0"/>
            <a:t>Score</a:t>
          </a:r>
          <a:endParaRPr lang="en-IN" sz="1100"/>
        </a:p>
      </xdr:txBody>
    </xdr:sp>
    <xdr:clientData/>
  </xdr:twoCellAnchor>
  <xdr:twoCellAnchor editAs="oneCell">
    <xdr:from>
      <xdr:col>4</xdr:col>
      <xdr:colOff>342900</xdr:colOff>
      <xdr:row>5</xdr:row>
      <xdr:rowOff>137160</xdr:rowOff>
    </xdr:from>
    <xdr:to>
      <xdr:col>5</xdr:col>
      <xdr:colOff>182880</xdr:colOff>
      <xdr:row>8</xdr:row>
      <xdr:rowOff>38100</xdr:rowOff>
    </xdr:to>
    <xdr:pic>
      <xdr:nvPicPr>
        <xdr:cNvPr id="23" name="Graphic 22" descr="Sling with solid fill">
          <a:extLst>
            <a:ext uri="{FF2B5EF4-FFF2-40B4-BE49-F238E27FC236}">
              <a16:creationId xmlns:a16="http://schemas.microsoft.com/office/drawing/2014/main" id="{4D013EFA-4CB5-E35D-2D85-C8401779C3C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81300" y="1051560"/>
          <a:ext cx="449580" cy="449580"/>
        </a:xfrm>
        <a:prstGeom prst="rect">
          <a:avLst/>
        </a:prstGeom>
      </xdr:spPr>
    </xdr:pic>
    <xdr:clientData/>
  </xdr:twoCellAnchor>
  <xdr:twoCellAnchor editAs="oneCell">
    <xdr:from>
      <xdr:col>7</xdr:col>
      <xdr:colOff>198120</xdr:colOff>
      <xdr:row>5</xdr:row>
      <xdr:rowOff>106680</xdr:rowOff>
    </xdr:from>
    <xdr:to>
      <xdr:col>8</xdr:col>
      <xdr:colOff>38100</xdr:colOff>
      <xdr:row>8</xdr:row>
      <xdr:rowOff>7620</xdr:rowOff>
    </xdr:to>
    <xdr:pic>
      <xdr:nvPicPr>
        <xdr:cNvPr id="25" name="Graphic 24" descr="Hourglass 30% with solid fill">
          <a:extLst>
            <a:ext uri="{FF2B5EF4-FFF2-40B4-BE49-F238E27FC236}">
              <a16:creationId xmlns:a16="http://schemas.microsoft.com/office/drawing/2014/main" id="{92C06E49-7E6B-9624-7D29-F70563207DC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465320" y="1021080"/>
          <a:ext cx="449580" cy="449580"/>
        </a:xfrm>
        <a:prstGeom prst="rect">
          <a:avLst/>
        </a:prstGeom>
      </xdr:spPr>
    </xdr:pic>
    <xdr:clientData/>
  </xdr:twoCellAnchor>
  <xdr:twoCellAnchor editAs="oneCell">
    <xdr:from>
      <xdr:col>10</xdr:col>
      <xdr:colOff>83820</xdr:colOff>
      <xdr:row>5</xdr:row>
      <xdr:rowOff>114300</xdr:rowOff>
    </xdr:from>
    <xdr:to>
      <xdr:col>10</xdr:col>
      <xdr:colOff>518160</xdr:colOff>
      <xdr:row>8</xdr:row>
      <xdr:rowOff>0</xdr:rowOff>
    </xdr:to>
    <xdr:pic>
      <xdr:nvPicPr>
        <xdr:cNvPr id="27" name="Graphic 26" descr="Checklist outline">
          <a:extLst>
            <a:ext uri="{FF2B5EF4-FFF2-40B4-BE49-F238E27FC236}">
              <a16:creationId xmlns:a16="http://schemas.microsoft.com/office/drawing/2014/main" id="{97DFC54C-DE89-89A5-349B-8701A179D80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79820" y="1028700"/>
          <a:ext cx="434340" cy="434340"/>
        </a:xfrm>
        <a:prstGeom prst="rect">
          <a:avLst/>
        </a:prstGeom>
      </xdr:spPr>
    </xdr:pic>
    <xdr:clientData/>
  </xdr:twoCellAnchor>
  <xdr:twoCellAnchor editAs="oneCell">
    <xdr:from>
      <xdr:col>0</xdr:col>
      <xdr:colOff>533400</xdr:colOff>
      <xdr:row>6</xdr:row>
      <xdr:rowOff>129540</xdr:rowOff>
    </xdr:from>
    <xdr:to>
      <xdr:col>2</xdr:col>
      <xdr:colOff>251460</xdr:colOff>
      <xdr:row>26</xdr:row>
      <xdr:rowOff>144780</xdr:rowOff>
    </xdr:to>
    <mc:AlternateContent xmlns:mc="http://schemas.openxmlformats.org/markup-compatibility/2006" xmlns:a14="http://schemas.microsoft.com/office/drawing/2010/main">
      <mc:Choice Requires="a14">
        <xdr:graphicFrame macro="">
          <xdr:nvGraphicFramePr>
            <xdr:cNvPr id="28" name="Date (Month)">
              <a:extLst>
                <a:ext uri="{FF2B5EF4-FFF2-40B4-BE49-F238E27FC236}">
                  <a16:creationId xmlns:a16="http://schemas.microsoft.com/office/drawing/2014/main" id="{8293607A-2394-4FFB-B5BA-0D3B454E42A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33400" y="1226820"/>
              <a:ext cx="937260" cy="3672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441960</xdr:colOff>
      <xdr:row>8</xdr:row>
      <xdr:rowOff>7620</xdr:rowOff>
    </xdr:from>
    <xdr:to>
      <xdr:col>5</xdr:col>
      <xdr:colOff>381000</xdr:colOff>
      <xdr:row>10</xdr:row>
      <xdr:rowOff>171450</xdr:rowOff>
    </xdr:to>
    <xdr:graphicFrame macro="">
      <xdr:nvGraphicFramePr>
        <xdr:cNvPr id="16" name="Chart 15">
          <a:hlinkClick xmlns:r="http://schemas.openxmlformats.org/officeDocument/2006/relationships" r:id="rId8"/>
          <a:extLst>
            <a:ext uri="{FF2B5EF4-FFF2-40B4-BE49-F238E27FC236}">
              <a16:creationId xmlns:a16="http://schemas.microsoft.com/office/drawing/2014/main" id="{5BEE5A6F-ED07-42F7-B9FE-514D4B025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320040</xdr:colOff>
      <xdr:row>8</xdr:row>
      <xdr:rowOff>30480</xdr:rowOff>
    </xdr:from>
    <xdr:to>
      <xdr:col>8</xdr:col>
      <xdr:colOff>259080</xdr:colOff>
      <xdr:row>10</xdr:row>
      <xdr:rowOff>167640</xdr:rowOff>
    </xdr:to>
    <xdr:graphicFrame macro="">
      <xdr:nvGraphicFramePr>
        <xdr:cNvPr id="22" name="Chart 21">
          <a:hlinkClick xmlns:r="http://schemas.openxmlformats.org/officeDocument/2006/relationships" r:id="rId10"/>
          <a:extLst>
            <a:ext uri="{FF2B5EF4-FFF2-40B4-BE49-F238E27FC236}">
              <a16:creationId xmlns:a16="http://schemas.microsoft.com/office/drawing/2014/main" id="{E1ADD0F9-6E48-4D12-9182-580455222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213360</xdr:colOff>
      <xdr:row>7</xdr:row>
      <xdr:rowOff>129540</xdr:rowOff>
    </xdr:from>
    <xdr:to>
      <xdr:col>11</xdr:col>
      <xdr:colOff>144780</xdr:colOff>
      <xdr:row>10</xdr:row>
      <xdr:rowOff>167640</xdr:rowOff>
    </xdr:to>
    <xdr:graphicFrame macro="">
      <xdr:nvGraphicFramePr>
        <xdr:cNvPr id="18" name="Chart 17">
          <a:hlinkClick xmlns:r="http://schemas.openxmlformats.org/officeDocument/2006/relationships" r:id="rId12"/>
          <a:extLst>
            <a:ext uri="{FF2B5EF4-FFF2-40B4-BE49-F238E27FC236}">
              <a16:creationId xmlns:a16="http://schemas.microsoft.com/office/drawing/2014/main" id="{FBA092F3-5344-41E7-8CEE-1678AC77A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198120</xdr:colOff>
      <xdr:row>17</xdr:row>
      <xdr:rowOff>30480</xdr:rowOff>
    </xdr:from>
    <xdr:to>
      <xdr:col>10</xdr:col>
      <xdr:colOff>487680</xdr:colOff>
      <xdr:row>27</xdr:row>
      <xdr:rowOff>7620</xdr:rowOff>
    </xdr:to>
    <xdr:graphicFrame macro="">
      <xdr:nvGraphicFramePr>
        <xdr:cNvPr id="47" name="Chart 46">
          <a:extLst>
            <a:ext uri="{FF2B5EF4-FFF2-40B4-BE49-F238E27FC236}">
              <a16:creationId xmlns:a16="http://schemas.microsoft.com/office/drawing/2014/main" id="{D4FBDFB9-4D7D-4E18-BEA7-B7F4B33F4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213360</xdr:colOff>
      <xdr:row>26</xdr:row>
      <xdr:rowOff>68580</xdr:rowOff>
    </xdr:from>
    <xdr:to>
      <xdr:col>8</xdr:col>
      <xdr:colOff>167640</xdr:colOff>
      <xdr:row>27</xdr:row>
      <xdr:rowOff>121920</xdr:rowOff>
    </xdr:to>
    <xdr:sp macro="" textlink="">
      <xdr:nvSpPr>
        <xdr:cNvPr id="48" name="TextBox 47">
          <a:extLst>
            <a:ext uri="{FF2B5EF4-FFF2-40B4-BE49-F238E27FC236}">
              <a16:creationId xmlns:a16="http://schemas.microsoft.com/office/drawing/2014/main" id="{3263CC8A-C3AB-2300-9C64-208300F6E74A}"/>
            </a:ext>
          </a:extLst>
        </xdr:cNvPr>
        <xdr:cNvSpPr txBox="1"/>
      </xdr:nvSpPr>
      <xdr:spPr>
        <a:xfrm>
          <a:off x="3261360" y="4823460"/>
          <a:ext cx="17830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 Of Patient</a:t>
          </a:r>
          <a:r>
            <a:rPr lang="en-IN" sz="1100" baseline="0"/>
            <a:t> By Age Group</a:t>
          </a:r>
          <a:endParaRPr lang="en-IN" sz="1100"/>
        </a:p>
      </xdr:txBody>
    </xdr:sp>
    <xdr:clientData/>
  </xdr:twoCellAnchor>
  <mc:AlternateContent xmlns:mc="http://schemas.openxmlformats.org/markup-compatibility/2006">
    <mc:Choice xmlns:a14="http://schemas.microsoft.com/office/drawing/2010/main" Requires="a14">
      <xdr:twoCellAnchor editAs="oneCell">
        <xdr:from>
          <xdr:col>2</xdr:col>
          <xdr:colOff>594361</xdr:colOff>
          <xdr:row>11</xdr:row>
          <xdr:rowOff>99060</xdr:rowOff>
        </xdr:from>
        <xdr:to>
          <xdr:col>11</xdr:col>
          <xdr:colOff>53341</xdr:colOff>
          <xdr:row>15</xdr:row>
          <xdr:rowOff>167640</xdr:rowOff>
        </xdr:to>
        <xdr:pic>
          <xdr:nvPicPr>
            <xdr:cNvPr id="24" name="Picture 23">
              <a:extLst>
                <a:ext uri="{FF2B5EF4-FFF2-40B4-BE49-F238E27FC236}">
                  <a16:creationId xmlns:a16="http://schemas.microsoft.com/office/drawing/2014/main" id="{91A932CC-D1B0-F71B-3826-B1E3846664CE}"/>
                </a:ext>
              </a:extLst>
            </xdr:cNvPr>
            <xdr:cNvPicPr>
              <a:picLocks noChangeAspect="1" noChangeArrowheads="1"/>
              <a:extLst>
                <a:ext uri="{84589F7E-364E-4C9E-8A38-B11213B215E9}">
                  <a14:cameraTool cellRange="'Pivot Report'!$A$49:$D$51" spid="_x0000_s1089"/>
                </a:ext>
              </a:extLst>
            </xdr:cNvPicPr>
          </xdr:nvPicPr>
          <xdr:blipFill>
            <a:blip xmlns:r="http://schemas.openxmlformats.org/officeDocument/2006/relationships" r:embed="rId15"/>
            <a:srcRect/>
            <a:stretch>
              <a:fillRect/>
            </a:stretch>
          </xdr:blipFill>
          <xdr:spPr bwMode="auto">
            <a:xfrm>
              <a:off x="1813561" y="2110740"/>
              <a:ext cx="4945380" cy="80010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11</xdr:col>
      <xdr:colOff>297180</xdr:colOff>
      <xdr:row>0</xdr:row>
      <xdr:rowOff>114300</xdr:rowOff>
    </xdr:from>
    <xdr:to>
      <xdr:col>14</xdr:col>
      <xdr:colOff>304800</xdr:colOff>
      <xdr:row>10</xdr:row>
      <xdr:rowOff>22860</xdr:rowOff>
    </xdr:to>
    <xdr:graphicFrame macro="">
      <xdr:nvGraphicFramePr>
        <xdr:cNvPr id="15" name="Chart 14">
          <a:extLst>
            <a:ext uri="{FF2B5EF4-FFF2-40B4-BE49-F238E27FC236}">
              <a16:creationId xmlns:a16="http://schemas.microsoft.com/office/drawing/2014/main" id="{67FB885B-5800-403F-A501-B8E242FE3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487680</xdr:colOff>
      <xdr:row>0</xdr:row>
      <xdr:rowOff>99060</xdr:rowOff>
    </xdr:from>
    <xdr:to>
      <xdr:col>18</xdr:col>
      <xdr:colOff>38100</xdr:colOff>
      <xdr:row>9</xdr:row>
      <xdr:rowOff>160020</xdr:rowOff>
    </xdr:to>
    <xdr:graphicFrame macro="">
      <xdr:nvGraphicFramePr>
        <xdr:cNvPr id="26" name="Chart 25">
          <a:extLst>
            <a:ext uri="{FF2B5EF4-FFF2-40B4-BE49-F238E27FC236}">
              <a16:creationId xmlns:a16="http://schemas.microsoft.com/office/drawing/2014/main" id="{6190CEA5-CCD0-4A8B-B7F2-5F2EDA180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198120</xdr:colOff>
      <xdr:row>8</xdr:row>
      <xdr:rowOff>99060</xdr:rowOff>
    </xdr:from>
    <xdr:to>
      <xdr:col>17</xdr:col>
      <xdr:colOff>320040</xdr:colOff>
      <xdr:row>9</xdr:row>
      <xdr:rowOff>152400</xdr:rowOff>
    </xdr:to>
    <xdr:sp macro="" textlink="">
      <xdr:nvSpPr>
        <xdr:cNvPr id="30" name="TextBox 29">
          <a:extLst>
            <a:ext uri="{FF2B5EF4-FFF2-40B4-BE49-F238E27FC236}">
              <a16:creationId xmlns:a16="http://schemas.microsoft.com/office/drawing/2014/main" id="{1983892A-8223-374F-8287-0FA5586DED72}"/>
            </a:ext>
          </a:extLst>
        </xdr:cNvPr>
        <xdr:cNvSpPr txBox="1"/>
      </xdr:nvSpPr>
      <xdr:spPr>
        <a:xfrm>
          <a:off x="9342120" y="1562100"/>
          <a:ext cx="13411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Gender Wise</a:t>
          </a:r>
          <a:r>
            <a:rPr lang="en-IN" sz="1100" baseline="0"/>
            <a:t> Aalysis</a:t>
          </a:r>
          <a:endParaRPr lang="en-IN" sz="1100"/>
        </a:p>
      </xdr:txBody>
    </xdr:sp>
    <xdr:clientData/>
  </xdr:twoCellAnchor>
  <xdr:twoCellAnchor>
    <xdr:from>
      <xdr:col>11</xdr:col>
      <xdr:colOff>327660</xdr:colOff>
      <xdr:row>10</xdr:row>
      <xdr:rowOff>129540</xdr:rowOff>
    </xdr:from>
    <xdr:to>
      <xdr:col>18</xdr:col>
      <xdr:colOff>7620</xdr:colOff>
      <xdr:row>27</xdr:row>
      <xdr:rowOff>137160</xdr:rowOff>
    </xdr:to>
    <xdr:graphicFrame macro="">
      <xdr:nvGraphicFramePr>
        <xdr:cNvPr id="29" name="Chart 28">
          <a:extLst>
            <a:ext uri="{FF2B5EF4-FFF2-40B4-BE49-F238E27FC236}">
              <a16:creationId xmlns:a16="http://schemas.microsoft.com/office/drawing/2014/main" id="{F9FB197A-F1B5-441E-B4FE-026FACB6F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480060</xdr:colOff>
      <xdr:row>26</xdr:row>
      <xdr:rowOff>83820</xdr:rowOff>
    </xdr:from>
    <xdr:to>
      <xdr:col>16</xdr:col>
      <xdr:colOff>403860</xdr:colOff>
      <xdr:row>27</xdr:row>
      <xdr:rowOff>99060</xdr:rowOff>
    </xdr:to>
    <xdr:sp macro="" textlink="">
      <xdr:nvSpPr>
        <xdr:cNvPr id="31" name="TextBox 30">
          <a:extLst>
            <a:ext uri="{FF2B5EF4-FFF2-40B4-BE49-F238E27FC236}">
              <a16:creationId xmlns:a16="http://schemas.microsoft.com/office/drawing/2014/main" id="{F231E631-6DD4-5CE7-BA04-613C46BFDD47}"/>
            </a:ext>
          </a:extLst>
        </xdr:cNvPr>
        <xdr:cNvSpPr txBox="1"/>
      </xdr:nvSpPr>
      <xdr:spPr>
        <a:xfrm>
          <a:off x="7795260" y="4838700"/>
          <a:ext cx="23622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 Of Patient By Department Referral</a:t>
          </a:r>
        </a:p>
      </xdr:txBody>
    </xdr:sp>
    <xdr:clientData/>
  </xdr:twoCellAnchor>
  <xdr:twoCellAnchor editAs="oneCell">
    <xdr:from>
      <xdr:col>8</xdr:col>
      <xdr:colOff>487680</xdr:colOff>
      <xdr:row>1</xdr:row>
      <xdr:rowOff>121920</xdr:rowOff>
    </xdr:from>
    <xdr:to>
      <xdr:col>11</xdr:col>
      <xdr:colOff>53340</xdr:colOff>
      <xdr:row>4</xdr:row>
      <xdr:rowOff>30480</xdr:rowOff>
    </xdr:to>
    <mc:AlternateContent xmlns:mc="http://schemas.openxmlformats.org/markup-compatibility/2006" xmlns:a14="http://schemas.microsoft.com/office/drawing/2010/main">
      <mc:Choice Requires="a14">
        <xdr:graphicFrame macro="">
          <xdr:nvGraphicFramePr>
            <xdr:cNvPr id="32" name="Date (Year)">
              <a:extLst>
                <a:ext uri="{FF2B5EF4-FFF2-40B4-BE49-F238E27FC236}">
                  <a16:creationId xmlns:a16="http://schemas.microsoft.com/office/drawing/2014/main" id="{9A3D0825-E244-49AB-A76F-B9F29E986B7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364480" y="304800"/>
              <a:ext cx="1394460" cy="45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0.15768</cdr:x>
      <cdr:y>0.83333</cdr:y>
    </cdr:from>
    <cdr:to>
      <cdr:x>0.90871</cdr:x>
      <cdr:y>0.93421</cdr:y>
    </cdr:to>
    <cdr:sp macro="" textlink="">
      <cdr:nvSpPr>
        <cdr:cNvPr id="2" name="TextBox 1">
          <a:extLst xmlns:a="http://schemas.openxmlformats.org/drawingml/2006/main">
            <a:ext uri="{FF2B5EF4-FFF2-40B4-BE49-F238E27FC236}">
              <a16:creationId xmlns:a16="http://schemas.microsoft.com/office/drawing/2014/main" id="{68E69263-87E1-C806-49A7-CD6A8378DB4E}"/>
            </a:ext>
          </a:extLst>
        </cdr:cNvPr>
        <cdr:cNvSpPr txBox="1"/>
      </cdr:nvSpPr>
      <cdr:spPr>
        <a:xfrm xmlns:a="http://schemas.openxmlformats.org/drawingml/2006/main">
          <a:off x="289560" y="1447800"/>
          <a:ext cx="1379220" cy="1752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a:t>Patient Attend Status</a:t>
          </a:r>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30480</xdr:colOff>
      <xdr:row>3</xdr:row>
      <xdr:rowOff>30480</xdr:rowOff>
    </xdr:from>
    <xdr:to>
      <xdr:col>16</xdr:col>
      <xdr:colOff>571500</xdr:colOff>
      <xdr:row>22</xdr:row>
      <xdr:rowOff>76200</xdr:rowOff>
    </xdr:to>
    <xdr:graphicFrame macro="">
      <xdr:nvGraphicFramePr>
        <xdr:cNvPr id="2" name="Chart 1">
          <a:extLst>
            <a:ext uri="{FF2B5EF4-FFF2-40B4-BE49-F238E27FC236}">
              <a16:creationId xmlns:a16="http://schemas.microsoft.com/office/drawing/2014/main" id="{EAE22CF0-2652-4CC0-9D78-BD1C317DB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83820</xdr:colOff>
      <xdr:row>23</xdr:row>
      <xdr:rowOff>60960</xdr:rowOff>
    </xdr:from>
    <xdr:to>
      <xdr:col>15</xdr:col>
      <xdr:colOff>403860</xdr:colOff>
      <xdr:row>24</xdr:row>
      <xdr:rowOff>91440</xdr:rowOff>
    </xdr:to>
    <xdr:sp macro="" textlink="">
      <xdr:nvSpPr>
        <xdr:cNvPr id="3" name="TextBox 2">
          <a:extLst>
            <a:ext uri="{FF2B5EF4-FFF2-40B4-BE49-F238E27FC236}">
              <a16:creationId xmlns:a16="http://schemas.microsoft.com/office/drawing/2014/main" id="{9CF59C4C-39FC-7DF0-C8E0-F8B9D28EFBDF}"/>
            </a:ext>
          </a:extLst>
        </xdr:cNvPr>
        <xdr:cNvSpPr txBox="1"/>
      </xdr:nvSpPr>
      <xdr:spPr>
        <a:xfrm>
          <a:off x="2522220" y="4267200"/>
          <a:ext cx="70256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4</xdr:col>
      <xdr:colOff>358140</xdr:colOff>
      <xdr:row>22</xdr:row>
      <xdr:rowOff>121920</xdr:rowOff>
    </xdr:from>
    <xdr:to>
      <xdr:col>15</xdr:col>
      <xdr:colOff>312420</xdr:colOff>
      <xdr:row>24</xdr:row>
      <xdr:rowOff>15240</xdr:rowOff>
    </xdr:to>
    <xdr:sp macro="" textlink="">
      <xdr:nvSpPr>
        <xdr:cNvPr id="4" name="TextBox 3">
          <a:extLst>
            <a:ext uri="{FF2B5EF4-FFF2-40B4-BE49-F238E27FC236}">
              <a16:creationId xmlns:a16="http://schemas.microsoft.com/office/drawing/2014/main" id="{20D872E8-38FF-CD37-3355-1FFD026A8A44}"/>
            </a:ext>
          </a:extLst>
        </xdr:cNvPr>
        <xdr:cNvSpPr txBox="1"/>
      </xdr:nvSpPr>
      <xdr:spPr>
        <a:xfrm>
          <a:off x="2796540" y="4145280"/>
          <a:ext cx="66598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Bradley Hand ITC" panose="03070402050302030203" pitchFamily="66" charset="0"/>
            </a:rPr>
            <a:t>Use</a:t>
          </a:r>
          <a:r>
            <a:rPr lang="en-IN" sz="1100" b="1" baseline="0">
              <a:latin typeface="Bradley Hand ITC" panose="03070402050302030203" pitchFamily="66" charset="0"/>
            </a:rPr>
            <a:t> an area chart to show trends, spot drops in satisfaction, and link them to busy times or challenges.</a:t>
          </a:r>
          <a:endParaRPr lang="en-IN" sz="1100" b="1">
            <a:latin typeface="Bradley Hand ITC" panose="03070402050302030203" pitchFamily="66" charset="0"/>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0.0105</cdr:x>
      <cdr:y>0.02958</cdr:y>
    </cdr:from>
    <cdr:to>
      <cdr:x>0.06091</cdr:x>
      <cdr:y>0.15079</cdr:y>
    </cdr:to>
    <cdr:pic>
      <cdr:nvPicPr>
        <cdr:cNvPr id="2" name="Graphic 4"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B8771E0-91FB-A7AF-ED82-B046BD69BA5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8900" y="104140"/>
          <a:ext cx="426720" cy="42672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3</xdr:col>
      <xdr:colOff>114300</xdr:colOff>
      <xdr:row>2</xdr:row>
      <xdr:rowOff>175260</xdr:rowOff>
    </xdr:from>
    <xdr:to>
      <xdr:col>17</xdr:col>
      <xdr:colOff>563880</xdr:colOff>
      <xdr:row>25</xdr:row>
      <xdr:rowOff>106680</xdr:rowOff>
    </xdr:to>
    <xdr:graphicFrame macro="">
      <xdr:nvGraphicFramePr>
        <xdr:cNvPr id="2" name="Chart 1">
          <a:extLst>
            <a:ext uri="{FF2B5EF4-FFF2-40B4-BE49-F238E27FC236}">
              <a16:creationId xmlns:a16="http://schemas.microsoft.com/office/drawing/2014/main" id="{D3ED329E-5FD0-4464-9BE4-FDAF040E1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182880</xdr:colOff>
      <xdr:row>25</xdr:row>
      <xdr:rowOff>160020</xdr:rowOff>
    </xdr:from>
    <xdr:to>
      <xdr:col>17</xdr:col>
      <xdr:colOff>129540</xdr:colOff>
      <xdr:row>27</xdr:row>
      <xdr:rowOff>129540</xdr:rowOff>
    </xdr:to>
    <xdr:sp macro="" textlink="">
      <xdr:nvSpPr>
        <xdr:cNvPr id="3" name="TextBox 2">
          <a:extLst>
            <a:ext uri="{FF2B5EF4-FFF2-40B4-BE49-F238E27FC236}">
              <a16:creationId xmlns:a16="http://schemas.microsoft.com/office/drawing/2014/main" id="{B0CD84AB-D6F9-190A-51BB-8F0E3ADAE92D}"/>
            </a:ext>
          </a:extLst>
        </xdr:cNvPr>
        <xdr:cNvSpPr txBox="1"/>
      </xdr:nvSpPr>
      <xdr:spPr>
        <a:xfrm>
          <a:off x="2621280" y="4732020"/>
          <a:ext cx="78714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Bradley Hand ITC" panose="03070402050302030203" pitchFamily="66" charset="0"/>
            </a:rPr>
            <a:t>Use an area sparkline to track  daily changes and highlight</a:t>
          </a:r>
          <a:r>
            <a:rPr lang="en-IN" sz="1100" b="1" baseline="0">
              <a:latin typeface="Bradley Hand ITC" panose="03070402050302030203" pitchFamily="66" charset="0"/>
            </a:rPr>
            <a:t> days with longer wait times that might need improvements</a:t>
          </a:r>
          <a:endParaRPr lang="en-IN" sz="1100" b="1">
            <a:latin typeface="Bradley Hand ITC" panose="03070402050302030203" pitchFamily="66" charset="0"/>
          </a:endParaRPr>
        </a:p>
      </xdr:txBody>
    </xdr:sp>
    <xdr:clientData/>
  </xdr:twoCellAnchor>
</xdr:wsDr>
</file>

<file path=xl/drawings/drawing7.xml><?xml version="1.0" encoding="utf-8"?>
<c:userShapes xmlns:c="http://schemas.openxmlformats.org/drawingml/2006/chart">
  <cdr:relSizeAnchor xmlns:cdr="http://schemas.openxmlformats.org/drawingml/2006/chartDrawing">
    <cdr:from>
      <cdr:x>0.00905</cdr:x>
      <cdr:y>0.02885</cdr:y>
    </cdr:from>
    <cdr:to>
      <cdr:x>0.05655</cdr:x>
      <cdr:y>0.13198</cdr:y>
    </cdr:to>
    <cdr:pic>
      <cdr:nvPicPr>
        <cdr:cNvPr id="2" name="Graphic 4"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7E6491D-522B-104A-BDE9-B694F1F9568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1280" y="119380"/>
          <a:ext cx="426720" cy="42672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3</xdr:col>
      <xdr:colOff>121920</xdr:colOff>
      <xdr:row>2</xdr:row>
      <xdr:rowOff>167640</xdr:rowOff>
    </xdr:from>
    <xdr:to>
      <xdr:col>17</xdr:col>
      <xdr:colOff>312420</xdr:colOff>
      <xdr:row>22</xdr:row>
      <xdr:rowOff>114300</xdr:rowOff>
    </xdr:to>
    <xdr:graphicFrame macro="">
      <xdr:nvGraphicFramePr>
        <xdr:cNvPr id="2" name="Chart 1">
          <a:extLst>
            <a:ext uri="{FF2B5EF4-FFF2-40B4-BE49-F238E27FC236}">
              <a16:creationId xmlns:a16="http://schemas.microsoft.com/office/drawing/2014/main" id="{97CBB52E-9A9A-4EE8-A2FF-94E528934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53340</xdr:colOff>
      <xdr:row>23</xdr:row>
      <xdr:rowOff>15240</xdr:rowOff>
    </xdr:from>
    <xdr:to>
      <xdr:col>16</xdr:col>
      <xdr:colOff>228600</xdr:colOff>
      <xdr:row>24</xdr:row>
      <xdr:rowOff>167640</xdr:rowOff>
    </xdr:to>
    <xdr:sp macro="" textlink="">
      <xdr:nvSpPr>
        <xdr:cNvPr id="3" name="TextBox 2">
          <a:extLst>
            <a:ext uri="{FF2B5EF4-FFF2-40B4-BE49-F238E27FC236}">
              <a16:creationId xmlns:a16="http://schemas.microsoft.com/office/drawing/2014/main" id="{72C2A801-50F2-366F-DB5B-1359F22461AC}"/>
            </a:ext>
          </a:extLst>
        </xdr:cNvPr>
        <xdr:cNvSpPr txBox="1"/>
      </xdr:nvSpPr>
      <xdr:spPr>
        <a:xfrm>
          <a:off x="3101340" y="4221480"/>
          <a:ext cx="68808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Bradley Hand ITC" panose="03070402050302030203" pitchFamily="66" charset="0"/>
            </a:rPr>
            <a:t>Showing</a:t>
          </a:r>
          <a:r>
            <a:rPr lang="en-IN" sz="1200" b="1" baseline="0">
              <a:latin typeface="Bradley Hand ITC" panose="03070402050302030203" pitchFamily="66" charset="0"/>
            </a:rPr>
            <a:t> a daily trend with an area sparkline to spot patterns like busy days or seasonal trends</a:t>
          </a:r>
          <a:endParaRPr lang="en-IN" sz="1200" b="1">
            <a:latin typeface="Bradley Hand ITC" panose="03070402050302030203" pitchFamily="66" charset="0"/>
          </a:endParaRPr>
        </a:p>
      </xdr:txBody>
    </xdr:sp>
    <xdr:clientData/>
  </xdr:twoCellAnchor>
  <xdr:twoCellAnchor editAs="oneCell">
    <xdr:from>
      <xdr:col>3</xdr:col>
      <xdr:colOff>205740</xdr:colOff>
      <xdr:row>3</xdr:row>
      <xdr:rowOff>60960</xdr:rowOff>
    </xdr:from>
    <xdr:to>
      <xdr:col>4</xdr:col>
      <xdr:colOff>22860</xdr:colOff>
      <xdr:row>5</xdr:row>
      <xdr:rowOff>121920</xdr:rowOff>
    </xdr:to>
    <xdr:pic>
      <xdr:nvPicPr>
        <xdr:cNvPr id="5" name="Graphic 4" descr="Work from home Wi-Fi with solid fill">
          <a:hlinkClick xmlns:r="http://schemas.openxmlformats.org/officeDocument/2006/relationships" r:id="rId2"/>
          <a:extLst>
            <a:ext uri="{FF2B5EF4-FFF2-40B4-BE49-F238E27FC236}">
              <a16:creationId xmlns:a16="http://schemas.microsoft.com/office/drawing/2014/main" id="{C7E6491D-522B-104A-BDE9-B694F1F9568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34540" y="609600"/>
          <a:ext cx="426720" cy="4267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eesh gaur" refreshedDate="46247.553405671293" createdVersion="5" refreshedVersion="8" minRefreshableVersion="3" recordCount="0" supportSubquery="1" supportAdvancedDrill="1" xr:uid="{E4738861-5A3F-444D-B9E6-A8513B90CBB0}">
  <cacheSource type="external" connectionId="3"/>
  <cacheFields count="3">
    <cacheField name="[Measures].[Distinct Count of Patient Id]" caption="Distinct Count of Patient Id" numFmtId="0" hierarchy="24" level="32767"/>
    <cacheField name="[Calender_Table].[Date (Day)].[Date (Day)]" caption="Date (Day)" numFmtId="0" hierarchy="2" level="1">
      <sharedItems count="31">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_Table].[Date (Month)].[Date (Month)]" caption="Date (Month)"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eesh gaur" refreshedDate="46247.553405902778" createdVersion="5" refreshedVersion="8" minRefreshableVersion="3" recordCount="0" supportSubquery="1" supportAdvancedDrill="1" xr:uid="{49093DCF-7450-443F-B768-B0D91C2B8929}">
  <cacheSource type="external" connectionId="3"/>
  <cacheFields count="2">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eesh gaur" refreshedDate="46247.553406018516" createdVersion="5" refreshedVersion="8" minRefreshableVersion="3" recordCount="0" supportSubquery="1" supportAdvancedDrill="1" xr:uid="{75D4BD29-8013-42F7-ABC3-C34B2E27D00B}">
  <cacheSource type="external" connectionId="3"/>
  <cacheFields count="2">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eesh gaur" refreshedDate="46247.553406134262" createdVersion="5" refreshedVersion="8" minRefreshableVersion="3" recordCount="0" supportSubquery="1" supportAdvancedDrill="1" xr:uid="{8264A159-E06A-43D6-8584-A3D5F5D32E63}">
  <cacheSource type="external" connectionId="3"/>
  <cacheFields count="2">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eesh gaur" refreshedDate="46247.553406597224" createdVersion="5" refreshedVersion="8" minRefreshableVersion="3" recordCount="0" supportSubquery="1" supportAdvancedDrill="1" xr:uid="{83A3BE56-B99D-4FE0-A6CD-925D097570C0}">
  <cacheSource type="external" connectionId="3"/>
  <cacheFields count="3">
    <cacheField name="[Calender_Table].[Date (Day)].[Date (Day)]" caption="Date (Day)" numFmtId="0" hierarchy="2" level="1">
      <sharedItems count="31">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eesh gaur" refreshedDate="46247.553406944447" createdVersion="5" refreshedVersion="8" minRefreshableVersion="3" recordCount="0" supportSubquery="1" supportAdvancedDrill="1" xr:uid="{93EA0F3A-6273-4B8D-A43C-280204AC24A1}">
  <cacheSource type="external" connectionId="3"/>
  <cacheFields count="3">
    <cacheField name="[Calender_Table].[Date (Day)].[Date (Day)]" caption="Date (Day)" numFmtId="0" hierarchy="2" level="1">
      <sharedItems count="29">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eesh gaur" refreshedDate="46247.553407523148" createdVersion="5" refreshedVersion="8" minRefreshableVersion="3" recordCount="0" supportSubquery="1" supportAdvancedDrill="1" xr:uid="{1D14C3D9-7D6A-47E5-B920-F4CAE2DCF23D}">
  <cacheSource type="external" connectionId="3"/>
  <cacheFields count="4">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eesh gaur" refreshedDate="46247.553407870371" createdVersion="5" refreshedVersion="8" minRefreshableVersion="3" recordCount="0" supportSubquery="1" supportAdvancedDrill="1" xr:uid="{D5EACFC8-4495-4C75-A9A7-EB9F7B273124}">
  <cacheSource type="external" connectionId="3"/>
  <cacheFields count="3">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eesh gaur" refreshedDate="46247.553408333333" createdVersion="5" refreshedVersion="8" minRefreshableVersion="3" recordCount="0" supportSubquery="1" supportAdvancedDrill="1" xr:uid="{12A315AC-4CA6-4DF4-A135-AF4E8A5F9A45}">
  <cacheSource type="external" connectionId="3"/>
  <cacheFields count="3">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eesh gaur" refreshedDate="46247.553408796295" createdVersion="5" refreshedVersion="8" minRefreshableVersion="3" recordCount="0" supportSubquery="1" supportAdvancedDrill="1" xr:uid="{75CEA9F1-EECE-444E-9EB9-E225CEA23457}">
  <cacheSource type="external" connectionId="3"/>
  <cacheFields count="3">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eesh gaur" refreshedDate="46247.553409259257" createdVersion="5" refreshedVersion="8" minRefreshableVersion="3" recordCount="0" supportSubquery="1" supportAdvancedDrill="1" xr:uid="{5E0BDCEA-C4C4-4DDC-9422-AFEFCF601327}">
  <cacheSource type="external" connectionId="3"/>
  <cacheFields count="3">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eesh gaur" refreshedDate="46247.55340960648" createdVersion="5" refreshedVersion="8" minRefreshableVersion="3" recordCount="0" supportSubquery="1" supportAdvancedDrill="1" xr:uid="{F25FD254-2C02-47ED-833F-D03279B917B9}">
  <cacheSource type="external" connectionId="3"/>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4-01-01T00:00:00" maxDate="2024-02-01T00:00:00" count="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2">
        <s v="2023"/>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eesh gaur" refreshedDate="46239.727784606483" createdVersion="3" refreshedVersion="8" minRefreshableVersion="3" recordCount="0" supportSubquery="1" supportAdvancedDrill="1" xr:uid="{D66EC747-C1D0-4480-8753-E66FE9BF960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860689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7035EA-E944-4FE2-93E6-55166C418D8D}" name="PivotTable12" cacheId="11" applyNumberFormats="0" applyBorderFormats="0" applyFontFormats="0" applyPatternFormats="0" applyAlignmentFormats="0" applyWidthHeightFormats="1" dataCaption="Values" tag="7871e6fb-3f9c-4213-aaa8-143d411e02bc" updatedVersion="8" minRefreshableVersion="3" subtotalHiddenItems="1" itemPrintTitles="1" createdVersion="5" indent="0" outline="1" outlineData="1" multipleFieldFilters="0" chartFormat="34">
  <location ref="L57:L60" firstHeaderRow="1" firstDataRow="1" firstDataCol="1"/>
  <pivotFields count="4">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2">
        <item x="0" e="0"/>
        <item x="1" e="0"/>
      </items>
    </pivotField>
  </pivotFields>
  <rowFields count="4">
    <field x="3"/>
    <field x="2"/>
    <field x="0"/>
    <field x="1"/>
  </rowFields>
  <rowItems count="3">
    <i>
      <x/>
    </i>
    <i>
      <x v="1"/>
    </i>
    <i t="grand">
      <x/>
    </i>
  </rowItems>
  <formats count="1">
    <format dxfId="0">
      <pivotArea outline="0" collapsedLevelsAreSubtotals="1" fieldPosition="0"/>
    </format>
  </formats>
  <pivotHierarchies count="35">
    <pivotHierarchy dragToData="1"/>
    <pivotHierarchy multipleItemSelectionAllowed="1" dragToData="1">
      <members count="1" level="1">
        <member name="[Calender_Table].[Date (Month)].&amp;[Dec]"/>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D752AB-E941-4B50-BEF0-0704ECB1238C}" name="PivotTable11" cacheId="10" applyNumberFormats="0" applyBorderFormats="0" applyFontFormats="0" applyPatternFormats="0" applyAlignmentFormats="0" applyWidthHeightFormats="1" dataCaption="Values" tag="7871e6fb-3f9c-4213-aaa8-143d411e02bc" updatedVersion="8" minRefreshableVersion="3" subtotalHiddenItems="1" itemPrintTitles="1" createdVersion="5" indent="0" outline="1" outlineData="1" multipleFieldFilters="0" chartFormat="34">
  <location ref="I60:J69"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1"/>
    </i>
    <i>
      <x v="3"/>
    </i>
    <i>
      <x v="6"/>
    </i>
    <i>
      <x/>
    </i>
    <i>
      <x v="5"/>
    </i>
    <i>
      <x v="2"/>
    </i>
    <i>
      <x v="4"/>
    </i>
    <i t="grand">
      <x/>
    </i>
  </rowItems>
  <colItems count="1">
    <i/>
  </colItems>
  <dataFields count="1">
    <dataField name="Count of Department Referral" fld="2" subtotal="count" baseField="0" baseItem="0"/>
  </dataFields>
  <formats count="2">
    <format dxfId="2">
      <pivotArea outline="0" collapsedLevelsAreSubtotals="1" fieldPosition="0"/>
    </format>
    <format dxfId="1">
      <pivotArea collapsedLevelsAreSubtotals="1" fieldPosition="0">
        <references count="1">
          <reference field="1" count="0"/>
        </references>
      </pivotArea>
    </format>
  </formats>
  <chartFormats count="1">
    <chartFormat chart="3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Dec]"/>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A7157D-2309-4AC8-BCEA-886F66337F7F}" name="PivotTable1" cacheId="1" applyNumberFormats="0" applyBorderFormats="0" applyFontFormats="0" applyPatternFormats="0" applyAlignmentFormats="0" applyWidthHeightFormats="1" dataCaption="Values" tag="73c0e988-caab-4336-808c-09f24858aa49" updatedVersion="8" minRefreshableVersion="3" subtotalHiddenItems="1" itemPrintTitles="1" createdVersion="5"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Dec]"/>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DD6977-113D-4BB9-A0E8-018EB7B0F2F6}" name="PivotTable8" cacheId="7" applyNumberFormats="0" applyBorderFormats="0" applyFontFormats="0" applyPatternFormats="0" applyAlignmentFormats="0" applyWidthHeightFormats="1" dataCaption="Values" tag="7871e6fb-3f9c-4213-aaa8-143d411e02bc" updatedVersion="8" minRefreshableVersion="3" subtotalHiddenItems="1" itemPrintTitles="1" createdVersion="5" indent="0" outline="1" outlineData="1" multipleFieldFilters="0" chartFormat="4">
  <location ref="A57:B66"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4">
      <pivotArea outline="0" collapsedLevelsAreSubtotals="1" fieldPosition="0"/>
    </format>
    <format dxfId="3">
      <pivotArea collapsedLevelsAreSubtotals="1" fieldPosition="0">
        <references count="1">
          <reference field="1" count="0"/>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Dec]"/>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2F1DF4-C5B1-49F3-8292-23EF02C40572}" name="PivotTable10" cacheId="9" applyNumberFormats="0" applyBorderFormats="0" applyFontFormats="0" applyPatternFormats="0" applyAlignmentFormats="0" applyWidthHeightFormats="1" dataCaption="Values" tag="7871e6fb-3f9c-4213-aaa8-143d411e02bc" updatedVersion="8" minRefreshableVersion="3" subtotalHiddenItems="1" itemPrintTitles="1" createdVersion="5" indent="0" outline="1" outlineData="1" multipleFieldFilters="0" chartFormat="36">
  <location ref="D64:E67"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5">
      <pivotArea outline="0" collapsedLevelsAreSubtotals="1" fieldPosition="0"/>
    </format>
  </formats>
  <chartFormats count="7">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1" format="2">
      <pivotArea type="data" outline="0" fieldPosition="0">
        <references count="2">
          <reference field="4294967294" count="1" selected="0">
            <x v="0"/>
          </reference>
          <reference field="1" count="1" selected="0">
            <x v="0"/>
          </reference>
        </references>
      </pivotArea>
    </chartFormat>
    <chartFormat chart="31" format="3">
      <pivotArea type="data" outline="0" fieldPosition="0">
        <references count="2">
          <reference field="4294967294" count="1" selected="0">
            <x v="0"/>
          </reference>
          <reference field="1"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1" count="1" selected="0">
            <x v="0"/>
          </reference>
        </references>
      </pivotArea>
    </chartFormat>
    <chartFormat chart="32"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Dec]"/>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0CD29A-D384-4009-BF26-3ED65A9D319A}" name="PivotTable9" cacheId="8" applyNumberFormats="0" applyBorderFormats="0" applyFontFormats="0" applyPatternFormats="0" applyAlignmentFormats="0" applyWidthHeightFormats="1" dataCaption="Values" tag="7871e6fb-3f9c-4213-aaa8-143d411e02bc" updatedVersion="8" minRefreshableVersion="3" subtotalHiddenItems="1" itemPrintTitles="1" createdVersion="5" indent="0" outline="1" outlineData="1" multipleFieldFilters="0" chartFormat="31">
  <location ref="D57:E6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formats count="2">
    <format dxfId="7">
      <pivotArea outline="0" collapsedLevelsAreSubtotals="1" fieldPosition="0"/>
    </format>
    <format dxfId="6">
      <pivotArea collapsedLevelsAreSubtotals="1" fieldPosition="0">
        <references count="1">
          <reference field="1" count="0"/>
        </references>
      </pivotArea>
    </format>
  </formats>
  <chartFormats count="16">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 chart="13"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1" count="1" selected="0">
            <x v="0"/>
          </reference>
        </references>
      </pivotArea>
    </chartFormat>
    <chartFormat chart="28"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Dec]"/>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3D7263-0242-4884-9AA1-98CB7666F3B6}" name="PivotTable3" cacheId="3" applyNumberFormats="0" applyBorderFormats="0" applyFontFormats="0" applyPatternFormats="0" applyAlignmentFormats="0" applyWidthHeightFormats="1" dataCaption="Values" tag="7871e6fb-3f9c-4213-aaa8-143d411e02bc" updatedVersion="8" minRefreshableVersion="3" subtotalHiddenItems="1" itemPrintTitles="1" createdVersion="5" indent="0" outline="1" outlineData="1" multipleFieldFilters="0">
  <location ref="A19:A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
      <pivotArea outline="0" collapsedLevelsAreSubtotals="1" fieldPosition="0"/>
    </format>
  </formats>
  <pivotHierarchies count="35">
    <pivotHierarchy dragToData="1"/>
    <pivotHierarchy multipleItemSelectionAllowed="1" dragToData="1">
      <members count="1" level="1">
        <member name="[Calender_Table].[Date (Month)].&amp;[Dec]"/>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E890BB-CBC2-4DA8-82A7-B1907509981A}" name="PivotTable4" cacheId="4" applyNumberFormats="0" applyBorderFormats="0" applyFontFormats="0" applyPatternFormats="0" applyAlignmentFormats="0" applyWidthHeightFormats="1" dataCaption="Values" tag="73c0e988-caab-4336-808c-09f24858aa49" updatedVersion="8" minRefreshableVersion="3" subtotalHiddenItems="1" itemPrintTitles="1" createdVersion="5" indent="0" outline="1" outlineData="1" multipleFieldFilters="0" chartFormat="23">
  <location ref="J8:K40"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9">
      <pivotArea outline="0" collapsedLevelsAreSubtotals="1" fieldPosition="0"/>
    </format>
  </formats>
  <chartFormats count="3">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Dec]"/>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D7CF13-D176-4ECC-85A8-4118A2D51DD3}" name="PivotTable5" cacheId="5" applyNumberFormats="0" applyBorderFormats="0" applyFontFormats="0" applyPatternFormats="0" applyAlignmentFormats="0" applyWidthHeightFormats="1" dataCaption="Values" tag="73c0e988-caab-4336-808c-09f24858aa49" updatedVersion="8" minRefreshableVersion="3" subtotalHiddenItems="1" itemPrintTitles="1" createdVersion="5" indent="0" outline="1" outlineData="1" multipleFieldFilters="0" chartFormat="30">
  <location ref="O8:P38" firstHeaderRow="1" firstDataRow="1" firstDataCol="1"/>
  <pivotFields count="3">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Satisfaction Score" fld="2" subtotal="average" baseField="0" baseItem="0"/>
  </dataFields>
  <formats count="1">
    <format dxfId="10">
      <pivotArea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Dec]"/>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FAFD74-36E3-4C31-A4E1-C76212AF6253}" name="PivotTable6" cacheId="6" applyNumberFormats="0" applyBorderFormats="0" applyFontFormats="0" applyPatternFormats="0" applyAlignmentFormats="0" applyWidthHeightFormats="1" dataCaption="Values" tag="7871e6fb-3f9c-4213-aaa8-143d411e02bc" updatedVersion="8" minRefreshableVersion="3" subtotalHiddenItems="1" itemPrintTitles="1" createdVersion="5" indent="0" outline="1" outlineData="1" multipleFieldFilters="0" chartFormat="4">
  <location ref="A43:C46"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14">
      <pivotArea outline="0" collapsedLevelsAreSubtotals="1" fieldPosition="0"/>
    </format>
    <format dxfId="13">
      <pivotArea collapsedLevelsAreSubtotals="1" fieldPosition="0">
        <references count="1">
          <reference field="2" count="1">
            <x v="0"/>
          </reference>
        </references>
      </pivotArea>
    </format>
    <format dxfId="12">
      <pivotArea collapsedLevelsAreSubtotals="1" fieldPosition="0">
        <references count="1">
          <reference field="2" count="1">
            <x v="1"/>
          </reference>
        </references>
      </pivotArea>
    </format>
    <format dxfId="11">
      <pivotArea outline="0" fieldPosition="0">
        <references count="1">
          <reference field="4294967294" count="1">
            <x v="1"/>
          </reference>
        </references>
      </pivotArea>
    </format>
  </formats>
  <chartFormats count="4">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Calender_Table].[Date (Month)].&amp;[Dec]"/>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9E57B7-0A34-4C10-A241-4156FC33EF8A}" name="PivotTable7" cacheId="0" applyNumberFormats="0" applyBorderFormats="0" applyFontFormats="0" applyPatternFormats="0" applyAlignmentFormats="0" applyWidthHeightFormats="1" dataCaption="Values" tag="73c0e988-caab-4336-808c-09f24858aa49" updatedVersion="8" minRefreshableVersion="3" subtotalHiddenItems="1" itemPrintTitles="1" createdVersion="5" indent="0" outline="1" outlineData="1" multipleFieldFilters="0" chartFormat="15">
  <location ref="C8:D40"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1" baseItem="0">
      <extLst>
        <ext xmlns:x15="http://schemas.microsoft.com/office/spreadsheetml/2010/11/main" uri="{FABC7310-3BB5-11E1-824E-6D434824019B}">
          <x15:dataField isCountDistinct="1"/>
        </ext>
      </extLst>
    </dataField>
  </dataFields>
  <chartFormats count="4">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Dec]"/>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C55882-695B-4391-B14F-8DA09748BF45}" name="PivotTable2" cacheId="2" applyNumberFormats="0" applyBorderFormats="0" applyFontFormats="0" applyPatternFormats="0" applyAlignmentFormats="0" applyWidthHeightFormats="1" dataCaption="Values" tag="2978770b-3b10-4d53-bf57-3204e0a5adbd" updatedVersion="8" minRefreshableVersion="3" subtotalHiddenItems="1" itemPrintTitles="1" createdVersion="5"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5">
      <pivotArea outline="0" collapsedLevelsAreSubtotals="1" fieldPosition="0"/>
    </format>
  </formats>
  <pivotHierarchies count="35">
    <pivotHierarchy dragToData="1"/>
    <pivotHierarchy multipleItemSelectionAllowed="1" dragToData="1">
      <members count="1" level="1">
        <member name="[Calender_Table].[Date (Month)].&amp;[Dec]"/>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1FD7968-1E3F-4F1C-AC50-ED6BD5AB6BC7}" sourceName="[Calender_Table].[Date (Month)]">
  <pivotTables>
    <pivotTable tabId="1" name="PivotTable7"/>
    <pivotTable tabId="1" name="PivotTable1"/>
    <pivotTable tabId="1" name="PivotTable2"/>
    <pivotTable tabId="1" name="PivotTable3"/>
    <pivotTable tabId="1" name="PivotTable4"/>
    <pivotTable tabId="1" name="PivotTable5"/>
    <pivotTable tabId="1" name="PivotTable6"/>
    <pivotTable tabId="1" name="PivotTable8"/>
    <pivotTable tabId="1" name="PivotTable9"/>
    <pivotTable tabId="1" name="PivotTable10"/>
    <pivotTable tabId="1" name="PivotTable11"/>
    <pivotTable tabId="1" name="PivotTable12"/>
  </pivotTables>
  <data>
    <olap pivotCacheId="386068989">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Dec]"/>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55B6A91-DCFD-499A-85D0-6EDBDE103328}"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86068989">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5A799BF3-10B3-450F-854E-6A05E5437CB2}" cache="Slicer_Date__Month" caption="Date (Month)" showCaption="0" level="1" style="SlicerStyleDark1 2" rowHeight="252000"/>
  <slicer name="Date (Year)" xr10:uid="{4ECA6D98-2C01-4320-AA52-4F58DE302687}" cache="Slicer_Date__Year" caption="Date (Year)" columnCount="2" showCaption="0" level="1" style="SlicerStyleDark1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D7494-98F4-486B-BD86-C053241F8F61}">
  <dimension ref="A5:P69"/>
  <sheetViews>
    <sheetView workbookViewId="0">
      <selection activeCell="C22" sqref="C22"/>
    </sheetView>
  </sheetViews>
  <sheetFormatPr defaultRowHeight="14.4" x14ac:dyDescent="0.3"/>
  <cols>
    <col min="1" max="1" width="15.21875" customWidth="1"/>
    <col min="2" max="2" width="14.109375" customWidth="1"/>
    <col min="3" max="3" width="10.88671875" customWidth="1"/>
    <col min="4" max="4" width="16.109375" customWidth="1"/>
    <col min="5" max="5" width="10.21875" customWidth="1"/>
    <col min="6" max="6" width="4.109375" bestFit="1" customWidth="1"/>
    <col min="7" max="7" width="4" bestFit="1" customWidth="1"/>
    <col min="8" max="8" width="4.33203125" bestFit="1" customWidth="1"/>
    <col min="9" max="9" width="11.88671875" customWidth="1"/>
    <col min="10" max="10" width="12.44140625" bestFit="1" customWidth="1"/>
    <col min="11" max="11" width="24.21875" bestFit="1" customWidth="1"/>
    <col min="12" max="12" width="18" customWidth="1"/>
    <col min="13" max="13" width="13.21875" customWidth="1"/>
    <col min="14" max="14" width="4.21875" bestFit="1" customWidth="1"/>
    <col min="15" max="15" width="12.44140625" bestFit="1" customWidth="1"/>
    <col min="16" max="16" width="31.77734375" bestFit="1" customWidth="1"/>
    <col min="17" max="17" width="6" bestFit="1" customWidth="1"/>
    <col min="18" max="18" width="5.33203125" bestFit="1" customWidth="1"/>
    <col min="19" max="19" width="6.33203125" bestFit="1" customWidth="1"/>
    <col min="20" max="20" width="5.6640625" bestFit="1" customWidth="1"/>
    <col min="21" max="21" width="5.88671875" bestFit="1" customWidth="1"/>
    <col min="22" max="22" width="6.33203125" bestFit="1" customWidth="1"/>
    <col min="23" max="23" width="10.5546875" bestFit="1" customWidth="1"/>
    <col min="24" max="582" width="10.33203125" bestFit="1" customWidth="1"/>
    <col min="583" max="583" width="10.5546875" bestFit="1" customWidth="1"/>
  </cols>
  <sheetData>
    <row r="5" spans="1:16" x14ac:dyDescent="0.3">
      <c r="A5" t="s">
        <v>1</v>
      </c>
    </row>
    <row r="6" spans="1:16" x14ac:dyDescent="0.3">
      <c r="A6" t="s">
        <v>0</v>
      </c>
      <c r="C6" t="s">
        <v>6</v>
      </c>
      <c r="J6" t="s">
        <v>7</v>
      </c>
      <c r="O6" t="s">
        <v>8</v>
      </c>
    </row>
    <row r="7" spans="1:16" x14ac:dyDescent="0.3">
      <c r="A7" s="1">
        <v>489</v>
      </c>
    </row>
    <row r="8" spans="1:16" x14ac:dyDescent="0.3">
      <c r="C8" s="5" t="s">
        <v>5</v>
      </c>
      <c r="D8" t="s">
        <v>0</v>
      </c>
      <c r="J8" s="5" t="s">
        <v>5</v>
      </c>
      <c r="K8" t="s">
        <v>2</v>
      </c>
      <c r="O8" s="5" t="s">
        <v>5</v>
      </c>
      <c r="P8" t="s">
        <v>3</v>
      </c>
    </row>
    <row r="9" spans="1:16" x14ac:dyDescent="0.3">
      <c r="C9" s="6" t="s">
        <v>44</v>
      </c>
      <c r="D9" s="1">
        <v>16</v>
      </c>
      <c r="J9" s="6" t="s">
        <v>44</v>
      </c>
      <c r="K9" s="2">
        <v>34.5</v>
      </c>
      <c r="O9" s="6" t="s">
        <v>44</v>
      </c>
      <c r="P9" s="2">
        <v>9</v>
      </c>
    </row>
    <row r="10" spans="1:16" x14ac:dyDescent="0.3">
      <c r="C10" s="6" t="s">
        <v>45</v>
      </c>
      <c r="D10" s="1">
        <v>15</v>
      </c>
      <c r="J10" s="6" t="s">
        <v>45</v>
      </c>
      <c r="K10" s="2">
        <v>35.4</v>
      </c>
      <c r="O10" s="6" t="s">
        <v>45</v>
      </c>
      <c r="P10" s="2">
        <v>4.4000000000000004</v>
      </c>
    </row>
    <row r="11" spans="1:16" x14ac:dyDescent="0.3">
      <c r="C11" s="6" t="s">
        <v>46</v>
      </c>
      <c r="D11" s="1">
        <v>14</v>
      </c>
      <c r="J11" s="6" t="s">
        <v>46</v>
      </c>
      <c r="K11" s="2">
        <v>34.928571428571431</v>
      </c>
      <c r="O11" s="6" t="s">
        <v>46</v>
      </c>
      <c r="P11" s="2">
        <v>4</v>
      </c>
    </row>
    <row r="12" spans="1:16" x14ac:dyDescent="0.3">
      <c r="C12" s="6" t="s">
        <v>47</v>
      </c>
      <c r="D12" s="1">
        <v>12</v>
      </c>
      <c r="J12" s="6" t="s">
        <v>47</v>
      </c>
      <c r="K12" s="2">
        <v>44.25</v>
      </c>
      <c r="O12" s="6" t="s">
        <v>47</v>
      </c>
      <c r="P12" s="2">
        <v>0</v>
      </c>
    </row>
    <row r="13" spans="1:16" x14ac:dyDescent="0.3">
      <c r="A13" t="s">
        <v>2</v>
      </c>
      <c r="C13" s="6" t="s">
        <v>48</v>
      </c>
      <c r="D13" s="1">
        <v>16</v>
      </c>
      <c r="J13" s="6" t="s">
        <v>48</v>
      </c>
      <c r="K13" s="2">
        <v>40.1875</v>
      </c>
      <c r="O13" s="6" t="s">
        <v>48</v>
      </c>
      <c r="P13" s="2">
        <v>2.875</v>
      </c>
    </row>
    <row r="14" spans="1:16" x14ac:dyDescent="0.3">
      <c r="A14" s="2">
        <v>34.764826175869118</v>
      </c>
      <c r="C14" s="6" t="s">
        <v>49</v>
      </c>
      <c r="D14" s="1">
        <v>11</v>
      </c>
      <c r="J14" s="6" t="s">
        <v>49</v>
      </c>
      <c r="K14" s="2">
        <v>35</v>
      </c>
      <c r="O14" s="6" t="s">
        <v>49</v>
      </c>
      <c r="P14" s="2">
        <v>5.25</v>
      </c>
    </row>
    <row r="15" spans="1:16" x14ac:dyDescent="0.3">
      <c r="C15" s="6" t="s">
        <v>50</v>
      </c>
      <c r="D15" s="1">
        <v>7</v>
      </c>
      <c r="J15" s="6" t="s">
        <v>50</v>
      </c>
      <c r="K15" s="2">
        <v>43.142857142857146</v>
      </c>
      <c r="O15" s="6" t="s">
        <v>51</v>
      </c>
      <c r="P15" s="2">
        <v>6</v>
      </c>
    </row>
    <row r="16" spans="1:16" x14ac:dyDescent="0.3">
      <c r="C16" s="6" t="s">
        <v>51</v>
      </c>
      <c r="D16" s="1">
        <v>16</v>
      </c>
      <c r="J16" s="6" t="s">
        <v>51</v>
      </c>
      <c r="K16" s="2">
        <v>43.6875</v>
      </c>
      <c r="O16" s="6" t="s">
        <v>52</v>
      </c>
      <c r="P16" s="2">
        <v>6.5</v>
      </c>
    </row>
    <row r="17" spans="1:16" x14ac:dyDescent="0.3">
      <c r="C17" s="6" t="s">
        <v>52</v>
      </c>
      <c r="D17" s="1">
        <v>7</v>
      </c>
      <c r="J17" s="6" t="s">
        <v>52</v>
      </c>
      <c r="K17" s="2">
        <v>33.857142857142854</v>
      </c>
      <c r="O17" s="6" t="s">
        <v>53</v>
      </c>
      <c r="P17" s="2">
        <v>5.5</v>
      </c>
    </row>
    <row r="18" spans="1:16" x14ac:dyDescent="0.3">
      <c r="C18" s="6" t="s">
        <v>53</v>
      </c>
      <c r="D18" s="1">
        <v>16</v>
      </c>
      <c r="J18" s="6" t="s">
        <v>53</v>
      </c>
      <c r="K18" s="2">
        <v>40.1875</v>
      </c>
      <c r="O18" s="6" t="s">
        <v>54</v>
      </c>
      <c r="P18" s="2">
        <v>5.666666666666667</v>
      </c>
    </row>
    <row r="19" spans="1:16" x14ac:dyDescent="0.3">
      <c r="A19" t="s">
        <v>3</v>
      </c>
      <c r="C19" s="6" t="s">
        <v>54</v>
      </c>
      <c r="D19" s="1">
        <v>16</v>
      </c>
      <c r="J19" s="6" t="s">
        <v>54</v>
      </c>
      <c r="K19" s="2">
        <v>34.9375</v>
      </c>
      <c r="O19" s="6" t="s">
        <v>55</v>
      </c>
      <c r="P19" s="2">
        <v>5.25</v>
      </c>
    </row>
    <row r="20" spans="1:16" x14ac:dyDescent="0.3">
      <c r="A20" s="2">
        <v>4.6821705426356592</v>
      </c>
      <c r="C20" s="6" t="s">
        <v>55</v>
      </c>
      <c r="D20" s="1">
        <v>19</v>
      </c>
      <c r="J20" s="6" t="s">
        <v>55</v>
      </c>
      <c r="K20" s="2">
        <v>28.684210526315791</v>
      </c>
      <c r="O20" s="6" t="s">
        <v>56</v>
      </c>
      <c r="P20" s="2">
        <v>7.25</v>
      </c>
    </row>
    <row r="21" spans="1:16" x14ac:dyDescent="0.3">
      <c r="C21" s="6" t="s">
        <v>56</v>
      </c>
      <c r="D21" s="1">
        <v>10</v>
      </c>
      <c r="J21" s="6" t="s">
        <v>56</v>
      </c>
      <c r="K21" s="2">
        <v>25</v>
      </c>
      <c r="O21" s="6" t="s">
        <v>57</v>
      </c>
      <c r="P21" s="2">
        <v>6</v>
      </c>
    </row>
    <row r="22" spans="1:16" x14ac:dyDescent="0.3">
      <c r="C22" s="6" t="s">
        <v>57</v>
      </c>
      <c r="D22" s="1">
        <v>13</v>
      </c>
      <c r="J22" s="6" t="s">
        <v>57</v>
      </c>
      <c r="K22" s="2">
        <v>35.46153846153846</v>
      </c>
      <c r="O22" s="6" t="s">
        <v>58</v>
      </c>
      <c r="P22" s="2">
        <v>4.5999999999999996</v>
      </c>
    </row>
    <row r="23" spans="1:16" x14ac:dyDescent="0.3">
      <c r="C23" s="6" t="s">
        <v>58</v>
      </c>
      <c r="D23" s="1">
        <v>27</v>
      </c>
      <c r="J23" s="6" t="s">
        <v>58</v>
      </c>
      <c r="K23" s="2">
        <v>33.814814814814817</v>
      </c>
      <c r="O23" s="6" t="s">
        <v>59</v>
      </c>
      <c r="P23" s="2">
        <v>8</v>
      </c>
    </row>
    <row r="24" spans="1:16" x14ac:dyDescent="0.3">
      <c r="C24" s="6" t="s">
        <v>59</v>
      </c>
      <c r="D24" s="1">
        <v>19</v>
      </c>
      <c r="J24" s="6" t="s">
        <v>59</v>
      </c>
      <c r="K24" s="2">
        <v>33.631578947368418</v>
      </c>
      <c r="O24" s="6" t="s">
        <v>60</v>
      </c>
      <c r="P24" s="2">
        <v>3.6666666666666665</v>
      </c>
    </row>
    <row r="25" spans="1:16" x14ac:dyDescent="0.3">
      <c r="C25" s="6" t="s">
        <v>60</v>
      </c>
      <c r="D25" s="1">
        <v>18</v>
      </c>
      <c r="J25" s="6" t="s">
        <v>60</v>
      </c>
      <c r="K25" s="2">
        <v>36.611111111111114</v>
      </c>
      <c r="O25" s="6" t="s">
        <v>61</v>
      </c>
      <c r="P25" s="2">
        <v>2.4285714285714284</v>
      </c>
    </row>
    <row r="26" spans="1:16" x14ac:dyDescent="0.3">
      <c r="C26" s="6" t="s">
        <v>61</v>
      </c>
      <c r="D26" s="1">
        <v>12</v>
      </c>
      <c r="J26" s="6" t="s">
        <v>61</v>
      </c>
      <c r="K26" s="2">
        <v>30.5</v>
      </c>
      <c r="O26" s="6" t="s">
        <v>62</v>
      </c>
      <c r="P26" s="2">
        <v>9</v>
      </c>
    </row>
    <row r="27" spans="1:16" x14ac:dyDescent="0.3">
      <c r="C27" s="6" t="s">
        <v>62</v>
      </c>
      <c r="D27" s="1">
        <v>20</v>
      </c>
      <c r="J27" s="6" t="s">
        <v>62</v>
      </c>
      <c r="K27" s="2">
        <v>33.6</v>
      </c>
      <c r="O27" s="6" t="s">
        <v>63</v>
      </c>
      <c r="P27" s="2">
        <v>6</v>
      </c>
    </row>
    <row r="28" spans="1:16" x14ac:dyDescent="0.3">
      <c r="C28" s="6" t="s">
        <v>63</v>
      </c>
      <c r="D28" s="1">
        <v>12</v>
      </c>
      <c r="J28" s="6" t="s">
        <v>63</v>
      </c>
      <c r="K28" s="2">
        <v>26.75</v>
      </c>
      <c r="O28" s="6" t="s">
        <v>64</v>
      </c>
      <c r="P28" s="2">
        <v>4</v>
      </c>
    </row>
    <row r="29" spans="1:16" x14ac:dyDescent="0.3">
      <c r="C29" s="6" t="s">
        <v>64</v>
      </c>
      <c r="D29" s="1">
        <v>19</v>
      </c>
      <c r="J29" s="6" t="s">
        <v>64</v>
      </c>
      <c r="K29" s="2">
        <v>37.684210526315788</v>
      </c>
      <c r="O29" s="6" t="s">
        <v>65</v>
      </c>
      <c r="P29" s="2">
        <v>4.833333333333333</v>
      </c>
    </row>
    <row r="30" spans="1:16" x14ac:dyDescent="0.3">
      <c r="C30" s="6" t="s">
        <v>65</v>
      </c>
      <c r="D30" s="1">
        <v>18</v>
      </c>
      <c r="J30" s="6" t="s">
        <v>65</v>
      </c>
      <c r="K30" s="2">
        <v>36.611111111111114</v>
      </c>
      <c r="O30" s="6" t="s">
        <v>66</v>
      </c>
      <c r="P30" s="2">
        <v>3.6</v>
      </c>
    </row>
    <row r="31" spans="1:16" x14ac:dyDescent="0.3">
      <c r="C31" s="6" t="s">
        <v>66</v>
      </c>
      <c r="D31" s="1">
        <v>21</v>
      </c>
      <c r="J31" s="6" t="s">
        <v>66</v>
      </c>
      <c r="K31" s="2">
        <v>35.428571428571431</v>
      </c>
      <c r="O31" s="6" t="s">
        <v>67</v>
      </c>
      <c r="P31" s="2">
        <v>5</v>
      </c>
    </row>
    <row r="32" spans="1:16" x14ac:dyDescent="0.3">
      <c r="C32" s="6" t="s">
        <v>67</v>
      </c>
      <c r="D32" s="1">
        <v>18</v>
      </c>
      <c r="J32" s="6" t="s">
        <v>67</v>
      </c>
      <c r="K32" s="2">
        <v>31.944444444444443</v>
      </c>
      <c r="O32" s="6" t="s">
        <v>68</v>
      </c>
      <c r="P32" s="2">
        <v>5.25</v>
      </c>
    </row>
    <row r="33" spans="1:16" x14ac:dyDescent="0.3">
      <c r="C33" s="6" t="s">
        <v>68</v>
      </c>
      <c r="D33" s="1">
        <v>16</v>
      </c>
      <c r="J33" s="6" t="s">
        <v>68</v>
      </c>
      <c r="K33" s="2">
        <v>31.875</v>
      </c>
      <c r="O33" s="6" t="s">
        <v>69</v>
      </c>
      <c r="P33" s="2">
        <v>3.2</v>
      </c>
    </row>
    <row r="34" spans="1:16" x14ac:dyDescent="0.3">
      <c r="C34" s="6" t="s">
        <v>69</v>
      </c>
      <c r="D34" s="1">
        <v>14</v>
      </c>
      <c r="J34" s="6" t="s">
        <v>69</v>
      </c>
      <c r="K34" s="2">
        <v>28.642857142857142</v>
      </c>
      <c r="O34" s="6" t="s">
        <v>70</v>
      </c>
      <c r="P34" s="2">
        <v>5.5</v>
      </c>
    </row>
    <row r="35" spans="1:16" x14ac:dyDescent="0.3">
      <c r="C35" s="6" t="s">
        <v>70</v>
      </c>
      <c r="D35" s="1">
        <v>14</v>
      </c>
      <c r="J35" s="6" t="s">
        <v>70</v>
      </c>
      <c r="K35" s="2">
        <v>39.214285714285715</v>
      </c>
      <c r="O35" s="6" t="s">
        <v>71</v>
      </c>
      <c r="P35" s="2">
        <v>3</v>
      </c>
    </row>
    <row r="36" spans="1:16" x14ac:dyDescent="0.3">
      <c r="C36" s="6" t="s">
        <v>71</v>
      </c>
      <c r="D36" s="1">
        <v>16</v>
      </c>
      <c r="J36" s="6" t="s">
        <v>71</v>
      </c>
      <c r="K36" s="2">
        <v>32.0625</v>
      </c>
      <c r="O36" s="6" t="s">
        <v>72</v>
      </c>
      <c r="P36" s="2">
        <v>3.9090909090909092</v>
      </c>
    </row>
    <row r="37" spans="1:16" x14ac:dyDescent="0.3">
      <c r="C37" s="6" t="s">
        <v>72</v>
      </c>
      <c r="D37" s="1">
        <v>21</v>
      </c>
      <c r="J37" s="6" t="s">
        <v>72</v>
      </c>
      <c r="K37" s="2">
        <v>28.285714285714285</v>
      </c>
      <c r="O37" s="6" t="s">
        <v>73</v>
      </c>
      <c r="P37" s="2">
        <v>2.6666666666666665</v>
      </c>
    </row>
    <row r="38" spans="1:16" x14ac:dyDescent="0.3">
      <c r="C38" s="6" t="s">
        <v>73</v>
      </c>
      <c r="D38" s="1">
        <v>21</v>
      </c>
      <c r="J38" s="6" t="s">
        <v>73</v>
      </c>
      <c r="K38" s="2">
        <v>35.476190476190474</v>
      </c>
      <c r="O38" s="6" t="s">
        <v>4</v>
      </c>
      <c r="P38" s="2">
        <v>4.6821705426356592</v>
      </c>
    </row>
    <row r="39" spans="1:16" x14ac:dyDescent="0.3">
      <c r="C39" s="6" t="s">
        <v>74</v>
      </c>
      <c r="D39" s="1">
        <v>15</v>
      </c>
      <c r="J39" s="6" t="s">
        <v>74</v>
      </c>
      <c r="K39" s="2">
        <v>39.799999999999997</v>
      </c>
    </row>
    <row r="40" spans="1:16" x14ac:dyDescent="0.3">
      <c r="C40" s="6" t="s">
        <v>4</v>
      </c>
      <c r="D40" s="1">
        <v>489</v>
      </c>
      <c r="J40" s="6" t="s">
        <v>4</v>
      </c>
      <c r="K40" s="2">
        <v>34.764826175869118</v>
      </c>
    </row>
    <row r="43" spans="1:16" x14ac:dyDescent="0.3">
      <c r="A43" s="5" t="s">
        <v>5</v>
      </c>
      <c r="B43" t="s">
        <v>10</v>
      </c>
      <c r="C43" t="s">
        <v>13</v>
      </c>
    </row>
    <row r="44" spans="1:16" x14ac:dyDescent="0.3">
      <c r="A44" s="6" t="s">
        <v>11</v>
      </c>
      <c r="B44" s="9">
        <v>250</v>
      </c>
      <c r="C44" s="10">
        <v>0.5112474437627812</v>
      </c>
    </row>
    <row r="45" spans="1:16" x14ac:dyDescent="0.3">
      <c r="A45" s="6" t="s">
        <v>12</v>
      </c>
      <c r="B45" s="9">
        <v>239</v>
      </c>
      <c r="C45" s="10">
        <v>0.4887525562372188</v>
      </c>
    </row>
    <row r="46" spans="1:16" x14ac:dyDescent="0.3">
      <c r="A46" s="6" t="s">
        <v>4</v>
      </c>
      <c r="B46" s="2">
        <v>489</v>
      </c>
      <c r="C46" s="10">
        <v>1</v>
      </c>
    </row>
    <row r="49" spans="1:12" x14ac:dyDescent="0.3">
      <c r="A49" s="14" t="s">
        <v>14</v>
      </c>
      <c r="B49" s="13" t="s">
        <v>26</v>
      </c>
      <c r="C49" s="13" t="s">
        <v>27</v>
      </c>
      <c r="D49" s="11"/>
    </row>
    <row r="50" spans="1:12" x14ac:dyDescent="0.3">
      <c r="A50" s="15" t="str">
        <f>A45</f>
        <v>Not Admitted</v>
      </c>
      <c r="B50" s="7">
        <f>B45</f>
        <v>239</v>
      </c>
      <c r="C50" s="12">
        <f>C45</f>
        <v>0.4887525562372188</v>
      </c>
      <c r="D50" s="7"/>
    </row>
    <row r="51" spans="1:12" x14ac:dyDescent="0.3">
      <c r="A51" s="7" t="str">
        <f>A44</f>
        <v>Admitted</v>
      </c>
      <c r="B51" s="7">
        <f>B44</f>
        <v>250</v>
      </c>
      <c r="C51" s="12">
        <f>C44</f>
        <v>0.5112474437627812</v>
      </c>
      <c r="D51" s="7"/>
    </row>
    <row r="56" spans="1:12" x14ac:dyDescent="0.3">
      <c r="D56" t="s">
        <v>28</v>
      </c>
    </row>
    <row r="57" spans="1:12" x14ac:dyDescent="0.3">
      <c r="A57" s="5" t="s">
        <v>5</v>
      </c>
      <c r="B57" t="s">
        <v>23</v>
      </c>
      <c r="D57" s="5" t="s">
        <v>5</v>
      </c>
      <c r="E57" t="s">
        <v>9</v>
      </c>
      <c r="L57" s="5" t="s">
        <v>5</v>
      </c>
    </row>
    <row r="58" spans="1:12" x14ac:dyDescent="0.3">
      <c r="A58" s="6" t="s">
        <v>15</v>
      </c>
      <c r="B58" s="9">
        <v>49</v>
      </c>
      <c r="D58" s="6" t="s">
        <v>24</v>
      </c>
      <c r="E58" s="9">
        <v>286</v>
      </c>
      <c r="L58" s="6" t="s">
        <v>42</v>
      </c>
    </row>
    <row r="59" spans="1:12" x14ac:dyDescent="0.3">
      <c r="A59" s="6" t="s">
        <v>16</v>
      </c>
      <c r="B59" s="9">
        <v>56</v>
      </c>
      <c r="D59" s="6" t="s">
        <v>25</v>
      </c>
      <c r="E59" s="9">
        <v>203</v>
      </c>
      <c r="L59" s="6" t="s">
        <v>43</v>
      </c>
    </row>
    <row r="60" spans="1:12" x14ac:dyDescent="0.3">
      <c r="A60" s="6" t="s">
        <v>17</v>
      </c>
      <c r="B60" s="9">
        <v>71</v>
      </c>
      <c r="D60" s="6" t="s">
        <v>4</v>
      </c>
      <c r="E60" s="2">
        <v>489</v>
      </c>
      <c r="I60" s="5" t="s">
        <v>5</v>
      </c>
      <c r="J60" t="s">
        <v>41</v>
      </c>
      <c r="L60" s="6" t="s">
        <v>4</v>
      </c>
    </row>
    <row r="61" spans="1:12" x14ac:dyDescent="0.3">
      <c r="A61" s="6" t="s">
        <v>18</v>
      </c>
      <c r="B61" s="9">
        <v>72</v>
      </c>
      <c r="I61" s="6" t="s">
        <v>40</v>
      </c>
      <c r="J61" s="9">
        <v>8</v>
      </c>
    </row>
    <row r="62" spans="1:12" x14ac:dyDescent="0.3">
      <c r="A62" s="6" t="s">
        <v>21</v>
      </c>
      <c r="B62" s="9">
        <v>64</v>
      </c>
      <c r="I62" s="6" t="s">
        <v>34</v>
      </c>
      <c r="J62" s="9">
        <v>8</v>
      </c>
    </row>
    <row r="63" spans="1:12" x14ac:dyDescent="0.3">
      <c r="A63" s="6" t="s">
        <v>19</v>
      </c>
      <c r="B63" s="9">
        <v>60</v>
      </c>
      <c r="D63" s="6" t="s">
        <v>32</v>
      </c>
      <c r="I63" s="6" t="s">
        <v>36</v>
      </c>
      <c r="J63" s="9">
        <v>11</v>
      </c>
    </row>
    <row r="64" spans="1:12" x14ac:dyDescent="0.3">
      <c r="A64" s="6" t="s">
        <v>20</v>
      </c>
      <c r="B64" s="9">
        <v>64</v>
      </c>
      <c r="D64" s="5" t="s">
        <v>5</v>
      </c>
      <c r="E64" t="s">
        <v>31</v>
      </c>
      <c r="I64" s="6" t="s">
        <v>39</v>
      </c>
      <c r="J64" s="9">
        <v>12</v>
      </c>
    </row>
    <row r="65" spans="1:10" x14ac:dyDescent="0.3">
      <c r="A65" s="6" t="s">
        <v>22</v>
      </c>
      <c r="B65" s="9">
        <v>53</v>
      </c>
      <c r="D65" s="6" t="s">
        <v>29</v>
      </c>
      <c r="E65" s="2">
        <v>240</v>
      </c>
      <c r="I65" s="6" t="s">
        <v>33</v>
      </c>
      <c r="J65" s="9">
        <v>18</v>
      </c>
    </row>
    <row r="66" spans="1:10" x14ac:dyDescent="0.3">
      <c r="A66" s="6" t="s">
        <v>4</v>
      </c>
      <c r="B66" s="2">
        <v>489</v>
      </c>
      <c r="D66" s="6" t="s">
        <v>30</v>
      </c>
      <c r="E66" s="2">
        <v>249</v>
      </c>
      <c r="I66" s="6" t="s">
        <v>38</v>
      </c>
      <c r="J66" s="9">
        <v>44</v>
      </c>
    </row>
    <row r="67" spans="1:10" x14ac:dyDescent="0.3">
      <c r="D67" s="6" t="s">
        <v>4</v>
      </c>
      <c r="E67" s="2">
        <v>489</v>
      </c>
      <c r="I67" s="6" t="s">
        <v>35</v>
      </c>
      <c r="J67" s="9">
        <v>110</v>
      </c>
    </row>
    <row r="68" spans="1:10" x14ac:dyDescent="0.3">
      <c r="I68" s="6" t="s">
        <v>37</v>
      </c>
      <c r="J68" s="9">
        <v>278</v>
      </c>
    </row>
    <row r="69" spans="1:10" x14ac:dyDescent="0.3">
      <c r="I69" s="6" t="s">
        <v>4</v>
      </c>
      <c r="J69" s="2">
        <v>489</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67C41-4DAC-443F-A677-84F97731EBC5}">
  <dimension ref="A8"/>
  <sheetViews>
    <sheetView workbookViewId="0">
      <selection activeCell="U23" sqref="U23"/>
    </sheetView>
  </sheetViews>
  <sheetFormatPr defaultRowHeight="14.4" x14ac:dyDescent="0.3"/>
  <cols>
    <col min="1" max="16384" width="8.88671875" style="3"/>
  </cols>
  <sheetData>
    <row r="8" spans="1:1" x14ac:dyDescent="0.3">
      <c r="A8"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C9B3C-105C-4862-8B9F-51EC8DA40A34}">
  <dimension ref="A1"/>
  <sheetViews>
    <sheetView workbookViewId="0">
      <selection activeCell="T25" sqref="T25"/>
    </sheetView>
  </sheetViews>
  <sheetFormatPr defaultRowHeight="14.4" x14ac:dyDescent="0.3"/>
  <cols>
    <col min="1" max="16384" width="8.88671875" style="8"/>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441FE-27EE-40C1-81CE-06B6A6F35B12}">
  <dimension ref="A1"/>
  <sheetViews>
    <sheetView tabSelected="1" workbookViewId="0">
      <selection activeCell="T23" sqref="T23"/>
    </sheetView>
  </sheetViews>
  <sheetFormatPr defaultRowHeight="14.4" x14ac:dyDescent="0.3"/>
  <cols>
    <col min="1" max="16384" width="8.88671875" style="16"/>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3016A-8F09-4AEF-848B-2D2D1A139725}">
  <dimension ref="A1"/>
  <sheetViews>
    <sheetView workbookViewId="0">
      <selection activeCell="O28" sqref="O28"/>
    </sheetView>
  </sheetViews>
  <sheetFormatPr defaultRowHeight="14.4" x14ac:dyDescent="0.3"/>
  <cols>
    <col min="1" max="16384" width="8.88671875" style="8"/>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92021C9-1C70-4184-86A3-FDB87738188C}">
  <ds:schemaRefs/>
</ds:datastoreItem>
</file>

<file path=customXml/itemProps2.xml><?xml version="1.0" encoding="utf-8"?>
<ds:datastoreItem xmlns:ds="http://schemas.openxmlformats.org/officeDocument/2006/customXml" ds:itemID="{FA301570-4A74-4E1B-9642-83682ADA5922}">
  <ds:schemaRefs/>
</ds:datastoreItem>
</file>

<file path=customXml/itemProps3.xml><?xml version="1.0" encoding="utf-8"?>
<ds:datastoreItem xmlns:ds="http://schemas.openxmlformats.org/officeDocument/2006/customXml" ds:itemID="{EE00B411-3DDD-4886-9FEE-D84B29BE6305}">
  <ds:schemaRefs/>
</ds:datastoreItem>
</file>

<file path=customXml/itemProps4.xml><?xml version="1.0" encoding="utf-8"?>
<ds:datastoreItem xmlns:ds="http://schemas.openxmlformats.org/officeDocument/2006/customXml" ds:itemID="{3454E704-80F6-4ED5-8B9F-E4F2FC22E389}">
  <ds:schemaRefs>
    <ds:schemaRef ds:uri="http://schemas.microsoft.com/DataMashup"/>
  </ds:schemaRefs>
</ds:datastoreItem>
</file>

<file path=customXml/itemProps5.xml><?xml version="1.0" encoding="utf-8"?>
<ds:datastoreItem xmlns:ds="http://schemas.openxmlformats.org/officeDocument/2006/customXml" ds:itemID="{8E107D63-488E-4E54-B6C0-E7B886D9EE86}">
  <ds:schemaRefs/>
</ds:datastoreItem>
</file>

<file path=customXml/itemProps6.xml><?xml version="1.0" encoding="utf-8"?>
<ds:datastoreItem xmlns:ds="http://schemas.openxmlformats.org/officeDocument/2006/customXml" ds:itemID="{FB8229F6-47A6-4E2A-B7D0-FE02AEECFA30}">
  <ds:schemaRefs/>
</ds:datastoreItem>
</file>

<file path=customXml/itemProps7.xml><?xml version="1.0" encoding="utf-8"?>
<ds:datastoreItem xmlns:ds="http://schemas.openxmlformats.org/officeDocument/2006/customXml" ds:itemID="{9B6AD04B-2327-43F3-BD19-D46C020A8046}">
  <ds:schemaRefs/>
</ds:datastoreItem>
</file>

<file path=customXml/itemProps8.xml><?xml version="1.0" encoding="utf-8"?>
<ds:datastoreItem xmlns:ds="http://schemas.openxmlformats.org/officeDocument/2006/customXml" ds:itemID="{889585C8-A1AC-43D0-B550-EAB66C990A2C}">
  <ds:schemaRefs/>
</ds:datastoreItem>
</file>

<file path=customXml/itemProps9.xml><?xml version="1.0" encoding="utf-8"?>
<ds:datastoreItem xmlns:ds="http://schemas.openxmlformats.org/officeDocument/2006/customXml" ds:itemID="{29C444CE-A201-4F33-8A5D-F8525538F932}">
  <ds:schemaRefs/>
</ds:datastoreItem>
</file>

<file path=customXml/itemProps10.xml><?xml version="1.0" encoding="utf-8"?>
<ds:datastoreItem xmlns:ds="http://schemas.openxmlformats.org/officeDocument/2006/customXml" ds:itemID="{2EA2F892-386D-4C64-8888-48986DA83278}">
  <ds:schemaRefs/>
</ds:datastoreItem>
</file>

<file path=customXml/itemProps11.xml><?xml version="1.0" encoding="utf-8"?>
<ds:datastoreItem xmlns:ds="http://schemas.openxmlformats.org/officeDocument/2006/customXml" ds:itemID="{313B695F-CF75-49DE-8D14-284B5838E33E}">
  <ds:schemaRefs/>
</ds:datastoreItem>
</file>

<file path=customXml/itemProps12.xml><?xml version="1.0" encoding="utf-8"?>
<ds:datastoreItem xmlns:ds="http://schemas.openxmlformats.org/officeDocument/2006/customXml" ds:itemID="{C3E2C7EC-6740-4AAF-8FE5-D96AE403F944}">
  <ds:schemaRefs/>
</ds:datastoreItem>
</file>

<file path=customXml/itemProps13.xml><?xml version="1.0" encoding="utf-8"?>
<ds:datastoreItem xmlns:ds="http://schemas.openxmlformats.org/officeDocument/2006/customXml" ds:itemID="{74B36C0F-B47B-49C5-9686-D1B8C0172EBD}">
  <ds:schemaRefs/>
</ds:datastoreItem>
</file>

<file path=customXml/itemProps14.xml><?xml version="1.0" encoding="utf-8"?>
<ds:datastoreItem xmlns:ds="http://schemas.openxmlformats.org/officeDocument/2006/customXml" ds:itemID="{1FB6E081-C386-468B-A8A1-8B44B5901B6B}">
  <ds:schemaRefs/>
</ds:datastoreItem>
</file>

<file path=customXml/itemProps15.xml><?xml version="1.0" encoding="utf-8"?>
<ds:datastoreItem xmlns:ds="http://schemas.openxmlformats.org/officeDocument/2006/customXml" ds:itemID="{E10607EA-B349-46E4-86AF-BA177AED1244}">
  <ds:schemaRefs/>
</ds:datastoreItem>
</file>

<file path=customXml/itemProps16.xml><?xml version="1.0" encoding="utf-8"?>
<ds:datastoreItem xmlns:ds="http://schemas.openxmlformats.org/officeDocument/2006/customXml" ds:itemID="{647F8329-B226-43B7-93F4-E3316159F013}">
  <ds:schemaRefs/>
</ds:datastoreItem>
</file>

<file path=customXml/itemProps17.xml><?xml version="1.0" encoding="utf-8"?>
<ds:datastoreItem xmlns:ds="http://schemas.openxmlformats.org/officeDocument/2006/customXml" ds:itemID="{A26F63BA-628B-4462-B5DF-9C66E503F582}">
  <ds:schemaRefs/>
</ds:datastoreItem>
</file>

<file path=customXml/itemProps18.xml><?xml version="1.0" encoding="utf-8"?>
<ds:datastoreItem xmlns:ds="http://schemas.openxmlformats.org/officeDocument/2006/customXml" ds:itemID="{6D41BF12-75E3-40F0-95F5-9729A765F7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Satisfaction score </vt:lpstr>
      <vt:lpstr>Average Waittime</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Asheesh Gaur</dc:creator>
  <cp:lastModifiedBy>Asheesh Gaur</cp:lastModifiedBy>
  <dcterms:created xsi:type="dcterms:W3CDTF">2026-07-28T12:23:34Z</dcterms:created>
  <dcterms:modified xsi:type="dcterms:W3CDTF">2026-08-20T13:08:13Z</dcterms:modified>
</cp:coreProperties>
</file>